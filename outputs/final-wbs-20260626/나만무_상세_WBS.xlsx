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51f327591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d2cfcd41f0b64c8d"/>
    <x:sheet xmlns:r="http://schemas.openxmlformats.org/officeDocument/2006/relationships" name="상세 WBS" sheetId="2" r:id="R46086c2fab674ea0"/>
    <x:sheet xmlns:r="http://schemas.openxmlformats.org/officeDocument/2006/relationships" name="마일스톤" sheetId="3" r:id="Rbe58f24e78c54410"/>
    <x:sheet xmlns:r="http://schemas.openxmlformats.org/officeDocument/2006/relationships" name="담당 영역" sheetId="4" r:id="Re98969ae71804dd9"/>
    <x:sheet xmlns:r="http://schemas.openxmlformats.org/officeDocument/2006/relationships" name="의존성" sheetId="5" r:id="R1af085ce74e34150"/>
    <x:sheet xmlns:r="http://schemas.openxmlformats.org/officeDocument/2006/relationships" name="리스크" sheetId="6" r:id="R188f8ea6ca384cac"/>
    <x:sheet xmlns:r="http://schemas.openxmlformats.org/officeDocument/2006/relationships" name="검증 체크리스트" sheetId="7" r:id="R875cb6b578184f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6"/>
      <x:color rgb="FF0F172A"/>
      <x:name val="Carlito"/>
    </x:font>
    <x:font>
      <x:b/>
      <x:sz val="11"/>
      <x:color rgb="FF0F172A"/>
      <x:name val="Carlito"/>
    </x:font>
    <x:font>
      <x:sz val="10"/>
      <x:color rgb="FF111827"/>
      <x:name val="Carlito"/>
    </x:font>
  </x:fonts>
  <x:fills count="2">
    <x:fill>
      <x:patternFill patternType="none"/>
    </x:fill>
    <x:fill>
      <x:patternFill patternType="gray125"/>
    </x:fill>
  </x:fills>
  <x:borders count="18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1" borderId="2" xfId="0" applyNumberFormat="1" applyFont="1" applyFill="0" applyBorder="1" applyAlignment="1">
      <x:alignment wrapText="1"/>
    </x:xf>
    <x:xf numFmtId="0" fontId="1" borderId="3" xfId="0" applyNumberFormat="1" applyFont="1" applyFill="0" applyBorder="1" applyAlignment="1">
      <x:alignment wrapText="1"/>
    </x:xf>
    <x:xf numFmtId="0" fontId="1" borderId="4" xfId="0" applyNumberFormat="1" applyFont="1" applyFill="0" applyBorder="1" applyAlignment="1">
      <x:alignment wrapText="1"/>
    </x:xf>
    <x:xf numFmtId="0" fontId="1" borderId="5" xfId="0" applyNumberFormat="1" applyFont="1" applyFill="0" applyBorder="1" applyAlignment="1">
      <x:alignment wrapText="1"/>
    </x:xf>
    <x:xf numFmtId="0" fontId="1" borderId="6" xfId="0" applyNumberFormat="1" applyFont="1" applyFill="0" applyBorder="1" applyAlignment="1">
      <x:alignment wrapText="1"/>
    </x:xf>
    <x:xf numFmtId="0" fontId="0" borderId="7" xfId="0" applyNumberFormat="1" applyFont="1" applyFill="0" applyBorder="1"/>
    <x:xf numFmtId="0" fontId="0" fillId="0" borderId="7" xfId="0" applyNumberFormat="1" applyFont="1" applyFill="1" applyBorder="1"/>
    <x:xf numFmtId="0" fontId="2" borderId="7" xfId="0" applyNumberFormat="1" applyFont="1" applyFill="0" applyBorder="1"/>
    <x:xf numFmtId="0" fontId="2" fillId="0" borderId="7" xfId="0" applyNumberFormat="1" applyFont="1" applyFill="1" applyBorder="1"/>
    <x:xf numFmtId="0" fontId="2" borderId="0" xfId="0" applyNumberFormat="1" applyFont="1" applyFill="0" applyBorder="1"/>
    <x:xf numFmtId="0" fontId="2" borderId="8" xfId="0" applyNumberFormat="1" applyFont="1" applyFill="0" applyBorder="1"/>
    <x:xf numFmtId="0" fontId="2" borderId="8" xfId="0" applyNumberFormat="1" applyFont="1" applyFill="0" applyBorder="1" applyAlignment="1">
      <x:alignment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200" fontId="3" fillId="0" borderId="12" xfId="0" applyNumberFormat="1" applyFont="1" applyFill="1" applyBorder="1" applyAlignment="1">
      <x:alignment wrapText="1"/>
    </x:xf>
    <x:xf numFmtId="200" fontId="3" fillId="0" borderId="15" xfId="0" applyNumberFormat="1" applyFont="1" applyFill="1" applyBorder="1" applyAlignment="1">
      <x:alignment wrapText="1"/>
    </x:xf>
    <x:xf numFmtId="0" fontId="2" borderId="7" xfId="0" applyNumberFormat="1" applyFont="1" applyFill="0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200" fontId="3" fillId="0" borderId="10" xfId="0" applyNumberFormat="1" applyFont="1" applyFill="1" applyBorder="1" applyAlignment="1">
      <x:alignment wrapText="1"/>
    </x:xf>
    <x:xf numFmtId="200" fontId="3" fillId="0" borderId="13" xfId="0" applyNumberFormat="1" applyFont="1" applyFill="1" applyBorder="1" applyAlignment="1">
      <x:alignment wrapText="1"/>
    </x:xf>
    <x:xf numFmtId="200" fontId="3" fillId="0" borderId="16" xfId="0" applyNumberFormat="1" applyFont="1" applyFill="1" applyBorder="1" applyAlignment="1">
      <x:alignment wrapText="1"/>
    </x:xf>
    <x:xf numFmtId="201" fontId="3" fillId="0" borderId="10" xfId="0" applyNumberFormat="1" applyFont="1" applyFill="1" applyBorder="1" applyAlignment="1">
      <x:alignment wrapText="1"/>
    </x:xf>
    <x:xf numFmtId="201" fontId="3" fillId="0" borderId="13" xfId="0" applyNumberFormat="1" applyFont="1" applyFill="1" applyBorder="1" applyAlignment="1">
      <x:alignment wrapText="1"/>
    </x:xf>
    <x:xf numFmtId="201" fontId="3" fillId="0" borderId="1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1084b43224fdc" /><Relationship Type="http://schemas.openxmlformats.org/officeDocument/2006/relationships/theme" Target="/xl/theme/theme1.xml" Id="R82bef36ba22a40ca" /><Relationship Type="http://schemas.openxmlformats.org/officeDocument/2006/relationships/sharedStrings" Target="/xl/sharedStrings.xml" Id="Rb73f5b6727b34b93" /><Relationship Type="http://schemas.openxmlformats.org/officeDocument/2006/relationships/worksheet" Target="/xl/worksheets/sheet1.xml" Id="Rd2cfcd41f0b64c8d" /><Relationship Type="http://schemas.openxmlformats.org/officeDocument/2006/relationships/worksheet" Target="/xl/worksheets/sheet2.xml" Id="R46086c2fab674ea0" /><Relationship Type="http://schemas.openxmlformats.org/officeDocument/2006/relationships/worksheet" Target="/xl/worksheets/sheet3.xml" Id="Rbe58f24e78c54410" /><Relationship Type="http://schemas.openxmlformats.org/officeDocument/2006/relationships/worksheet" Target="/xl/worksheets/sheet4.xml" Id="Re98969ae71804dd9" /><Relationship Type="http://schemas.openxmlformats.org/officeDocument/2006/relationships/worksheet" Target="/xl/worksheets/sheet5.xml" Id="R1af085ce74e34150" /><Relationship Type="http://schemas.openxmlformats.org/officeDocument/2006/relationships/worksheet" Target="/xl/worksheets/sheet6.xml" Id="R188f8ea6ca384cac" /><Relationship Type="http://schemas.openxmlformats.org/officeDocument/2006/relationships/worksheet" Target="/xl/worksheets/sheet7.xml" Id="R875cb6b578184f15" /><Relationship Type="http://schemas.microsoft.com/office/2017/10/relationships/person" Target="/xl/persons/person.xml" Id="R311b663a12734aa5" /></Relationships>
</file>

<file path=xl/persons/person.xml><?xml version="1.0" encoding="utf-8"?>
<xltc:personList xmlns:xltc="http://schemas.microsoft.com/office/spreadsheetml/2018/threadedcomments">
  <xltc:person displayName="Codex" id="{E6781067-FADD-459E-AC4F-1C17EE01C1DC}"/>
</xltc:personList>
</file>

<file path=xl/tables/table1.xml><?xml version="1.0" encoding="utf-8"?>
<x:table xmlns:x="http://schemas.openxmlformats.org/spreadsheetml/2006/main" id="1" name="SummaryRoleTable" displayName="SummaryRoleTable" ref="A12:D17" headerRowCount="1">
  <x:autoFilter ref="A12:D17"/>
  <x:tableColumns count="4">
    <x:tableColumn id="1" name="역할"/>
    <x:tableColumn id="2" name="전체"/>
    <x:tableColumn id="3" name="P0"/>
    <x:tableColumn id="4" name="완료"/>
  </x:tableColumns>
  <x:tableStyleInfo name="TableStyleMedium2" showRowStripes="1"/>
</x:table>
</file>

<file path=xl/tables/table2.xml><?xml version="1.0" encoding="utf-8"?>
<x:table xmlns:x="http://schemas.openxmlformats.org/spreadsheetml/2006/main" id="2" name="SummaryMilestoneTable" displayName="SummaryMilestoneTable" ref="A21:D26" headerRowCount="1">
  <x:autoFilter ref="A21:D26"/>
  <x:tableColumns count="4">
    <x:tableColumn id="1" name="날짜"/>
    <x:tableColumn id="2" name="마일스톤"/>
    <x:tableColumn id="3" name="데모 목표"/>
    <x:tableColumn id="4" name="주 담당"/>
  </x:tableColumns>
  <x:tableStyleInfo name="TableStyleMedium2" showRowStripes="1"/>
</x:table>
</file>

<file path=xl/tables/table3.xml><?xml version="1.0" encoding="utf-8"?>
<x:table xmlns:x="http://schemas.openxmlformats.org/spreadsheetml/2006/main" id="3" name="DetailedWbsTable" displayName="DetailedWbsTable" ref="A1:Q57" headerRowCount="1">
  <x:autoFilter ref="A1:Q57"/>
  <x:tableColumns count="17">
    <x:tableColumn id="1" name="ID"/>
    <x:tableColumn id="2" name="단계"/>
    <x:tableColumn id="3" name="작업명"/>
    <x:tableColumn id="4" name="상세 설명"/>
    <x:tableColumn id="5" name="담당 역할"/>
    <x:tableColumn id="6" name="담당 Git ID"/>
    <x:tableColumn id="7" name="시작일"/>
    <x:tableColumn id="8" name="종료일"/>
    <x:tableColumn id="9" name="기간(일)"/>
    <x:tableColumn id="10" name="우선순위"/>
    <x:tableColumn id="11" name="상태"/>
    <x:tableColumn id="12" name="선행 작업"/>
    <x:tableColumn id="13" name="결과물"/>
    <x:tableColumn id="14" name="완료 기준"/>
    <x:tableColumn id="15" name="검증 방법"/>
    <x:tableColumn id="16" name="브랜치 예시"/>
    <x:tableColumn id="17" name="PR 판단 기준"/>
  </x:tableColumns>
  <x:tableStyleInfo name="TableStyleMedium2" showRowStripes="1"/>
</x:table>
</file>

<file path=xl/tables/table4.xml><?xml version="1.0" encoding="utf-8"?>
<x:table xmlns:x="http://schemas.openxmlformats.org/spreadsheetml/2006/main" id="4" name="MilestoneTable" displayName="MilestoneTable" ref="A4:F9" headerRowCount="1">
  <x:autoFilter ref="A4:F9"/>
  <x:tableColumns count="6">
    <x:tableColumn id="1" name="날짜"/>
    <x:tableColumn id="2" name="구분"/>
    <x:tableColumn id="3" name="데모 목표"/>
    <x:tableColumn id="4" name="반드시 보여줄 것"/>
    <x:tableColumn id="5" name="관련 WBS"/>
    <x:tableColumn id="6" name="주 담당"/>
  </x:tableColumns>
  <x:tableStyleInfo name="TableStyleMedium2" showRowStripes="1"/>
</x:table>
</file>

<file path=xl/tables/table5.xml><?xml version="1.0" encoding="utf-8"?>
<x:table xmlns:x="http://schemas.openxmlformats.org/spreadsheetml/2006/main" id="5" name="OwnerTable" displayName="OwnerTable" ref="A4:G9" headerRowCount="1">
  <x:autoFilter ref="A4:G9"/>
  <x:tableColumns count="7">
    <x:tableColumn id="1" name="역할"/>
    <x:tableColumn id="2" name="담당 Git ID"/>
    <x:tableColumn id="3" name="주 담당 경로"/>
    <x:tableColumn id="4" name="전체 작업"/>
    <x:tableColumn id="5" name="P0 작업"/>
    <x:tableColumn id="6" name="비고"/>
    <x:tableColumn id="7" name="브랜치 예시"/>
  </x:tableColumns>
  <x:tableStyleInfo name="TableStyleMedium2" showRowStripes="1"/>
</x:table>
</file>

<file path=xl/tables/table6.xml><?xml version="1.0" encoding="utf-8"?>
<x:table xmlns:x="http://schemas.openxmlformats.org/spreadsheetml/2006/main" id="6" name="DependencyTable" displayName="DependencyTable" ref="A4:C14" headerRowCount="1">
  <x:autoFilter ref="A4:C14"/>
  <x:tableColumns count="3">
    <x:tableColumn id="1" name="후행 작업"/>
    <x:tableColumn id="2" name="선행 작업"/>
    <x:tableColumn id="3" name="이유"/>
  </x:tableColumns>
  <x:tableStyleInfo name="TableStyleMedium2" showRowStripes="1"/>
</x:table>
</file>

<file path=xl/tables/table7.xml><?xml version="1.0" encoding="utf-8"?>
<x:table xmlns:x="http://schemas.openxmlformats.org/spreadsheetml/2006/main" id="7" name="RiskTable" displayName="RiskTable" ref="A4:G12" headerRowCount="1">
  <x:autoFilter ref="A4:G12"/>
  <x:tableColumns count="7">
    <x:tableColumn id="1" name="ID"/>
    <x:tableColumn id="2" name="리스크"/>
    <x:tableColumn id="3" name="가능성"/>
    <x:tableColumn id="4" name="영향도"/>
    <x:tableColumn id="5" name="대응"/>
    <x:tableColumn id="6" name="담당"/>
    <x:tableColumn id="7" name="관련 WBS"/>
  </x:tableColumns>
  <x:tableStyleInfo name="TableStyleMedium2" showRowStripes="1"/>
</x:table>
</file>

<file path=xl/tables/table8.xml><?xml version="1.0" encoding="utf-8"?>
<x:table xmlns:x="http://schemas.openxmlformats.org/spreadsheetml/2006/main" id="8" name="ChecklistTable" displayName="ChecklistTable" ref="A4:E13" headerRowCount="1">
  <x:autoFilter ref="A4:E13"/>
  <x:tableColumns count="5">
    <x:tableColumn id="1" name="상황"/>
    <x:tableColumn id="2" name="검증"/>
    <x:tableColumn id="3" name="주 담당"/>
    <x:tableColumn id="4" name="적용 시점"/>
    <x:tableColumn id="5" name="목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89ad2ac9094143" /><Relationship Type="http://schemas.openxmlformats.org/officeDocument/2006/relationships/table" Target="/xl/tables/table2.xml" Id="R57c6fce4d2f540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00f49891d3104a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55ec64bcbc784b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672595cf81f542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9adb8ec652864c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c67a4aa1e5e043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7cb02a1bc8314c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0" hidden="0" customWidth="1"/>
    <x:col min="3" max="3" width="10" hidden="0" customWidth="1"/>
    <x:col min="4" max="4" width="10" hidden="0" customWidth="1"/>
    <x:col min="5" max="5" width="2.6700000762939453" hidden="0" customWidth="1"/>
    <x:col min="6" max="6" width="16.670000076293945" hidden="0" customWidth="1"/>
    <x:col min="7" max="7" width="20" hidden="0" customWidth="1"/>
    <x:col min="8" max="8" width="23.329999923706055" hidden="0" customWidth="1"/>
  </x:cols>
  <x:sheetData>
    <x:row r="1" ht="42" customHeight="1">
      <x:c r="A1" s="4" t="str">
        <x:v>나만무 상세 WBS
계획 시작일 2026-06-27 / 매주 수요일 실행 데모 기준</x:v>
      </x:c>
      <x:c r="B1" s="5"/>
      <x:c r="C1" s="5"/>
      <x:c r="D1" s="5"/>
      <x:c r="E1" s="5"/>
      <x:c r="F1" s="5"/>
      <x:c r="G1" s="5"/>
      <x:c r="H1" s="6"/>
    </x:row>
    <x:row r="2" ht="42" customHeight="1">
      <x:c r="A2" s="7"/>
      <x:c r="B2" s="8"/>
      <x:c r="C2" s="8"/>
      <x:c r="D2" s="8"/>
      <x:c r="E2" s="8"/>
      <x:c r="F2" s="8"/>
      <x:c r="G2" s="8"/>
      <x:c r="H2" s="9"/>
    </x:row>
    <x:row r="4">
      <x:c r="A4" s="12" t="str">
        <x:v>전체 작업</x:v>
      </x:c>
      <x:c r="B4" s="13" t="n">
        <x:f>COUNTA('상세 WBS'!$A$2:$A$100)</x:f>
        <x:v>56</x:v>
      </x:c>
      <x:c r="F4" s="47" t="str">
        <x:v>브랜치 규칙</x:v>
      </x:c>
      <x:c r="G4" s="47" t="str">
        <x:v>형식</x:v>
      </x:c>
      <x:c r="H4" s="47" t="str">
        <x:v>예시</x:v>
      </x:c>
    </x:row>
    <x:row r="5">
      <x:c r="A5" s="12" t="str">
        <x:v>완료</x:v>
      </x:c>
      <x:c r="B5" s="13" t="n">
        <x:f>COUNTIF('상세 WBS'!$K$2:$K$100,"완료")</x:f>
        <x:v>0</x:v>
      </x:c>
      <x:c r="F5" s="48" t="str">
        <x:v>기능</x:v>
      </x:c>
      <x:c r="G5" s="48" t="str">
        <x:v>feat/&lt;git-id&gt;/&lt;topic&gt;</x:v>
      </x:c>
      <x:c r="H5" s="48" t="str">
        <x:v>feat/woonyong/github-oauth</x:v>
      </x:c>
    </x:row>
    <x:row r="6">
      <x:c r="A6" s="12" t="str">
        <x:v>진행중</x:v>
      </x:c>
      <x:c r="B6" s="13" t="n">
        <x:f>COUNTIF('상세 WBS'!$K$2:$K$100,"진행중")</x:f>
        <x:v>1</x:v>
      </x:c>
      <x:c r="F6" s="48" t="str">
        <x:v>버그</x:v>
      </x:c>
      <x:c r="G6" s="48" t="str">
        <x:v>fix/&lt;git-id&gt;/&lt;topic&gt;</x:v>
      </x:c>
      <x:c r="H6" s="48" t="str">
        <x:v>fix/woonyong/dlq-replay</x:v>
      </x:c>
    </x:row>
    <x:row r="7">
      <x:c r="A7" s="12" t="str">
        <x:v>미시작</x:v>
      </x:c>
      <x:c r="B7" s="13" t="n">
        <x:f>COUNTIF('상세 WBS'!$K$2:$K$100,"미시작")</x:f>
        <x:v>55</x:v>
      </x:c>
      <x:c r="F7" s="48" t="str">
        <x:v>문서</x:v>
      </x:c>
      <x:c r="G7" s="48" t="str">
        <x:v>docs/&lt;git-id&gt;/&lt;topic&gt;</x:v>
      </x:c>
      <x:c r="H7" s="48" t="str">
        <x:v>docs/woonyong/wbs-sheet</x:v>
      </x:c>
    </x:row>
    <x:row r="8">
      <x:c r="A8" s="12" t="str">
        <x:v>지연</x:v>
      </x:c>
      <x:c r="B8" s="13" t="n">
        <x:f>COUNTIF('상세 WBS'!$K$2:$K$100,"지연")</x:f>
        <x:v>0</x:v>
      </x:c>
      <x:c r="F8" s="48" t="str">
        <x:v>CI</x:v>
      </x:c>
      <x:c r="G8" s="48" t="str">
        <x:v>ci/&lt;git-id&gt;/&lt;topic&gt;</x:v>
      </x:c>
      <x:c r="H8" s="48" t="str">
        <x:v>ci/woonyong/pr-gate</x:v>
      </x:c>
    </x:row>
    <x:row r="9">
      <x:c r="A9" s="12" t="str">
        <x:v>P0 작업</x:v>
      </x:c>
      <x:c r="B9" s="13" t="n">
        <x:f>COUNTIF('상세 WBS'!$J$2:$J$100,"P0")</x:f>
        <x:v>44</x:v>
      </x:c>
      <x:c r="F9" s="48" t="str">
        <x:v>리팩터</x:v>
      </x:c>
      <x:c r="G9" s="48" t="str">
        <x:v>refactor/&lt;git-id&gt;/&lt;topic&gt;</x:v>
      </x:c>
      <x:c r="H9" s="48" t="str">
        <x:v>refactor/woonyong/event-runtime</x:v>
      </x:c>
    </x:row>
    <x:row r="12">
      <x:c r="A12" s="16" t="str">
        <x:v>역할</x:v>
      </x:c>
      <x:c r="B12" s="16" t="str">
        <x:v>전체</x:v>
      </x:c>
      <x:c r="C12" s="16" t="str">
        <x:v>P0</x:v>
      </x:c>
      <x:c r="D12" s="16" t="str">
        <x:v>완료</x:v>
      </x:c>
    </x:row>
    <x:row r="13">
      <x:c r="A13" s="35" t="str">
        <x:v>Platform/Integration</x:v>
      </x:c>
      <x:c r="B13" s="36" t="n">
        <x:f>COUNTIF('상세 WBS'!$E$2:$E$100,A13)</x:f>
        <x:v>15</x:v>
      </x:c>
      <x:c r="C13" s="36" t="n">
        <x:f>COUNTIFS('상세 WBS'!$E$2:$E$100,A13,'상세 WBS'!$J$2:$J$100,"P0")</x:f>
        <x:v>13</x:v>
      </x:c>
      <x:c r="D13" s="37" t="n">
        <x:f>COUNTIFS('상세 WBS'!$E$2:$E$100,A13,'상세 WBS'!$K$2:$K$100,"완료")</x:f>
        <x:v>0</x:v>
      </x:c>
    </x:row>
    <x:row r="14">
      <x:c r="A14" s="38" t="str">
        <x:v>Gateway/Auth</x:v>
      </x:c>
      <x:c r="B14" s="39" t="n">
        <x:f>COUNTIF('상세 WBS'!$E$2:$E$100,A14)</x:f>
        <x:v>10</x:v>
      </x:c>
      <x:c r="C14" s="39" t="n">
        <x:f>COUNTIFS('상세 WBS'!$E$2:$E$100,A14,'상세 WBS'!$J$2:$J$100,"P0")</x:f>
        <x:v>6</x:v>
      </x:c>
      <x:c r="D14" s="40" t="n">
        <x:f>COUNTIFS('상세 WBS'!$E$2:$E$100,A14,'상세 WBS'!$K$2:$K$100,"완료")</x:f>
        <x:v>0</x:v>
      </x:c>
    </x:row>
    <x:row r="15">
      <x:c r="A15" s="38" t="str">
        <x:v>GitOps/Command</x:v>
      </x:c>
      <x:c r="B15" s="39" t="n">
        <x:f>COUNTIF('상세 WBS'!$E$2:$E$100,A15)</x:f>
        <x:v>9</x:v>
      </x:c>
      <x:c r="C15" s="39" t="n">
        <x:f>COUNTIFS('상세 WBS'!$E$2:$E$100,A15,'상세 WBS'!$J$2:$J$100,"P0")</x:f>
        <x:v>7</x:v>
      </x:c>
      <x:c r="D15" s="40" t="n">
        <x:f>COUNTIFS('상세 WBS'!$E$2:$E$100,A15,'상세 WBS'!$K$2:$K$100,"완료")</x:f>
        <x:v>0</x:v>
      </x:c>
    </x:row>
    <x:row r="16">
      <x:c r="A16" s="38" t="str">
        <x:v>RCA/Safe PR</x:v>
      </x:c>
      <x:c r="B16" s="39" t="n">
        <x:f>COUNTIF('상세 WBS'!$E$2:$E$100,A16)</x:f>
        <x:v>10</x:v>
      </x:c>
      <x:c r="C16" s="39" t="n">
        <x:f>COUNTIFS('상세 WBS'!$E$2:$E$100,A16,'상세 WBS'!$J$2:$J$100,"P0")</x:f>
        <x:v>8</x:v>
      </x:c>
      <x:c r="D16" s="40" t="n">
        <x:f>COUNTIFS('상세 WBS'!$E$2:$E$100,A16,'상세 WBS'!$K$2:$K$100,"완료")</x:f>
        <x:v>0</x:v>
      </x:c>
    </x:row>
    <x:row r="17">
      <x:c r="A17" s="41" t="str">
        <x:v>Target/Telemetry</x:v>
      </x:c>
      <x:c r="B17" s="42" t="n">
        <x:f>COUNTIF('상세 WBS'!$E$2:$E$100,A17)</x:f>
        <x:v>12</x:v>
      </x:c>
      <x:c r="C17" s="42" t="n">
        <x:f>COUNTIFS('상세 WBS'!$E$2:$E$100,A17,'상세 WBS'!$J$2:$J$100,"P0")</x:f>
        <x:v>10</x:v>
      </x:c>
      <x:c r="D17" s="43" t="n">
        <x:f>COUNTIFS('상세 WBS'!$E$2:$E$100,A17,'상세 WBS'!$K$2:$K$100,"완료")</x:f>
        <x:v>0</x:v>
      </x:c>
    </x:row>
    <x:row r="21">
      <x:c r="A21" s="16" t="str">
        <x:v>날짜</x:v>
      </x:c>
      <x:c r="B21" s="16" t="str">
        <x:v>마일스톤</x:v>
      </x:c>
      <x:c r="C21" s="16" t="str">
        <x:v>데모 목표</x:v>
      </x:c>
      <x:c r="D21" s="16" t="str">
        <x:v>주 담당</x:v>
      </x:c>
    </x:row>
    <x:row r="22">
      <x:c r="A22" s="44" t="n">
        <x:v>46204</x:v>
      </x:c>
      <x:c r="B22" s="36" t="str">
        <x:v>1차 보고</x:v>
      </x:c>
      <x:c r="C22" s="36" t="str">
        <x:v>Event Runtime / DLQ / Node Collector</x:v>
      </x:c>
      <x:c r="D22" s="37" t="str">
        <x:v>Platform/Integration</x:v>
      </x:c>
    </x:row>
    <x:row r="23">
      <x:c r="A23" s="45" t="n">
        <x:v>46211</x:v>
      </x:c>
      <x:c r="B23" s="39" t="str">
        <x:v>2차 보고</x:v>
      </x:c>
      <x:c r="C23" s="39" t="str">
        <x:v>GitHub OAuth + Safe PR 초안</x:v>
      </x:c>
      <x:c r="D23" s="40" t="str">
        <x:v>Gateway/Auth, RCA/Safe PR</x:v>
      </x:c>
    </x:row>
    <x:row r="24">
      <x:c r="A24" s="45" t="n">
        <x:v>46218</x:v>
      </x:c>
      <x:c r="B24" s="39" t="str">
        <x:v>3차 보고</x:v>
      </x:c>
      <x:c r="C24" s="39" t="str">
        <x:v>실제 Telemetry Evidence</x:v>
      </x:c>
      <x:c r="D24" s="40" t="str">
        <x:v>Target/Telemetry, RCA/Safe PR</x:v>
      </x:c>
    </x:row>
    <x:row r="25">
      <x:c r="A25" s="45" t="n">
        <x:v>46225</x:v>
      </x:c>
      <x:c r="B25" s="39" t="str">
        <x:v>4차 보고</x:v>
      </x:c>
      <x:c r="C25" s="39" t="str">
        <x:v>GitOps command 운영 플로우</x:v>
      </x:c>
      <x:c r="D25" s="40" t="str">
        <x:v>GitOps/Command, Platform/Integration</x:v>
      </x:c>
    </x:row>
    <x:row r="26">
      <x:c r="A26" s="46" t="n">
        <x:v>46232</x:v>
      </x:c>
      <x:c r="B26" s="42" t="str">
        <x:v>최종 보고</x:v>
      </x:c>
      <x:c r="C26" s="42" t="str">
        <x:v>최종 end-to-end</x:v>
      </x:c>
      <x:c r="D26" s="43" t="str">
        <x:v>전체</x:v>
      </x:c>
    </x:row>
  </x:sheetData>
  <x:mergeCells>
    <x:mergeCell ref="A1:H2"/>
  </x:mergeCells>
  <x:pageMargins left="0.7" right="0.7" top="0.75" bottom="0.75" header="0.3" footer="0.3"/>
  <x:tableParts count="2">
    <x:tablePart xmlns:r="http://schemas.openxmlformats.org/officeDocument/2006/relationships" r:id="R0e89ad2ac9094143"/>
    <x:tablePart xmlns:r="http://schemas.openxmlformats.org/officeDocument/2006/relationships" r:id="R57c6fce4d2f5409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4.4399995803833" hidden="0" customWidth="1"/>
    <x:col min="3" max="3" width="23.329999923706055" hidden="0" customWidth="1"/>
    <x:col min="4" max="4" width="40" hidden="0" customWidth="1"/>
    <x:col min="5" max="5" width="16.670000076293945" hidden="0" customWidth="1"/>
    <x:col min="6" max="6" width="15.5600004196167" hidden="0" customWidth="1"/>
    <x:col min="7" max="7" width="11.670000076293945" hidden="0" customWidth="1"/>
    <x:col min="8" max="8" width="11.670000076293945" hidden="0" customWidth="1"/>
    <x:col min="9" max="9" width="8.890000343322754" hidden="0" customWidth="1"/>
    <x:col min="10" max="10" width="9.109999656677246" hidden="0" customWidth="1"/>
    <x:col min="11" max="11" width="10" hidden="0" customWidth="1"/>
    <x:col min="12" max="12" width="14.4399995803833" hidden="0" customWidth="1"/>
    <x:col min="13" max="13" width="25.559999465942383" hidden="0" customWidth="1"/>
    <x:col min="14" max="14" width="31.110000610351562" hidden="0" customWidth="1"/>
    <x:col min="15" max="15" width="24.440000534057617" hidden="0" customWidth="1"/>
    <x:col min="16" max="16" width="28.889999389648438" hidden="0" customWidth="1"/>
    <x:col min="17" max="17" width="28.889999389648438" hidden="0" customWidth="1"/>
  </x:cols>
  <x:sheetData>
    <x:row r="1">
      <x:c r="A1" s="16" t="str">
        <x:v>ID</x:v>
      </x:c>
      <x:c r="B1" s="16" t="str">
        <x:v>단계</x:v>
      </x:c>
      <x:c r="C1" s="16" t="str">
        <x:v>작업명</x:v>
      </x:c>
      <x:c r="D1" s="16" t="str">
        <x:v>상세 설명</x:v>
      </x:c>
      <x:c r="E1" s="16" t="str">
        <x:v>담당 역할</x:v>
      </x:c>
      <x:c r="F1" s="16" t="str">
        <x:v>담당 Git ID</x:v>
      </x:c>
      <x:c r="G1" s="16" t="str">
        <x:v>시작일</x:v>
      </x:c>
      <x:c r="H1" s="16" t="str">
        <x:v>종료일</x:v>
      </x:c>
      <x:c r="I1" s="16" t="str">
        <x:v>기간(일)</x:v>
      </x:c>
      <x:c r="J1" s="16" t="str">
        <x:v>우선순위</x:v>
      </x:c>
      <x:c r="K1" s="16" t="str">
        <x:v>상태</x:v>
      </x:c>
      <x:c r="L1" s="16" t="str">
        <x:v>선행 작업</x:v>
      </x:c>
      <x:c r="M1" s="16" t="str">
        <x:v>결과물</x:v>
      </x:c>
      <x:c r="N1" s="16" t="str">
        <x:v>완료 기준</x:v>
      </x:c>
      <x:c r="O1" s="16" t="str">
        <x:v>검증 방법</x:v>
      </x:c>
      <x:c r="P1" s="16" t="str">
        <x:v>브랜치 예시</x:v>
      </x:c>
      <x:c r="Q1" s="16" t="str">
        <x:v>PR 판단 기준</x:v>
      </x:c>
    </x:row>
    <x:row r="2" ht="36" customHeight="1">
      <x:c r="A2" s="35" t="str">
        <x:v>WBS-001</x:v>
      </x:c>
      <x:c r="B2" s="36" t="str">
        <x:v>1주차 기반 안정화</x:v>
      </x:c>
      <x:c r="C2" s="36" t="str">
        <x:v>현재 문서/코드 기준선 잠금</x:v>
      </x:c>
      <x:c r="D2" s="36" t="str">
        <x:v>현재 구현된 서비스 구조와 WIKI 문서가 같은 기준을 바라보도록 기준선을 고정한다.</x:v>
      </x:c>
      <x:c r="E2" s="36" t="str">
        <x:v>Platform/Integration</x:v>
      </x:c>
      <x:c r="F2" s="36" t="str">
        <x:v>platform-github-id</x:v>
      </x:c>
      <x:c r="G2" s="49" t="n">
        <x:v>46200</x:v>
      </x:c>
      <x:c r="H2" s="49" t="n">
        <x:v>46200</x:v>
      </x:c>
      <x:c r="I2" s="52" t="n">
        <x:f>H2-G2+1</x:f>
        <x:v>1</x:v>
      </x:c>
      <x:c r="J2" s="36" t="str">
        <x:v>P0</x:v>
      </x:c>
      <x:c r="K2" s="36" t="str">
        <x:v>미시작</x:v>
      </x:c>
      <x:c r="L2" s="36" t="str"/>
      <x:c r="M2" s="36" t="str">
        <x:v>기준 문서 목록, main 최신 commit</x:v>
      </x:c>
      <x:c r="N2" s="36" t="str">
        <x:v>README, docs, WIKI 링크가 현재 구조와 일치</x:v>
      </x:c>
      <x:c r="O2" s="36" t="str">
        <x:v>make check, WIKI make check</x:v>
      </x:c>
      <x:c r="P2" s="36" t="str">
        <x:f>"feat/"&amp;F2&amp;"/baseline-doc-lock"</x:f>
        <x:v>feat/platform-github-id/baseline-doc-lock</x:v>
      </x:c>
      <x:c r="Q2" s="37" t="str">
        <x:v>문서/코드 불일치가 없어야 함</x:v>
      </x:c>
    </x:row>
    <x:row r="3" ht="36" customHeight="1">
      <x:c r="A3" s="38" t="str">
        <x:v>WBS-002</x:v>
      </x:c>
      <x:c r="B3" s="39" t="str">
        <x:v>1주차 기반 안정화</x:v>
      </x:c>
      <x:c r="C3" s="39" t="str">
        <x:v>branch protection 설정</x:v>
      </x:c>
      <x:c r="D3" s="39" t="str">
        <x:v>main 직접 push를 막고 CI 필수 통과, 리뷰 필수 정책을 GitHub repository에 설정한다.</x:v>
      </x:c>
      <x:c r="E3" s="39" t="str">
        <x:v>Platform/Integration</x:v>
      </x:c>
      <x:c r="F3" s="39" t="str">
        <x:v>platform-github-id</x:v>
      </x:c>
      <x:c r="G3" s="50" t="n">
        <x:v>46200</x:v>
      </x:c>
      <x:c r="H3" s="50" t="n">
        <x:v>46200</x:v>
      </x:c>
      <x:c r="I3" s="53" t="n">
        <x:f>H3-G3+1</x:f>
        <x:v>1</x:v>
      </x:c>
      <x:c r="J3" s="39" t="str">
        <x:v>P0</x:v>
      </x:c>
      <x:c r="K3" s="39" t="str">
        <x:v>미시작</x:v>
      </x:c>
      <x:c r="L3" s="39" t="str">
        <x:v>WBS-001</x:v>
      </x:c>
      <x:c r="M3" s="39" t="str">
        <x:v>GitHub branch protection rule</x:v>
      </x:c>
      <x:c r="N3" s="39" t="str">
        <x:v>필수 check 2개가 required로 잡힘</x:v>
      </x:c>
      <x:c r="O3" s="39" t="str">
        <x:v>GitHub Settings 화면 확인</x:v>
      </x:c>
      <x:c r="P3" s="39" t="str">
        <x:f>"feat/"&amp;F3&amp;"/branch-protection"</x:f>
        <x:v>feat/platform-github-id/branch-protection</x:v>
      </x:c>
      <x:c r="Q3" s="40" t="str">
        <x:v>관리자 권한 필요</x:v>
      </x:c>
    </x:row>
    <x:row r="4" ht="36" customHeight="1">
      <x:c r="A4" s="38" t="str">
        <x:v>WBS-003</x:v>
      </x:c>
      <x:c r="B4" s="39" t="str">
        <x:v>1주차 기반 안정화</x:v>
      </x:c>
      <x:c r="C4" s="39" t="str">
        <x:v>사용자 Git ID 기반 브랜치 룰 적용</x:v>
      </x:c>
      <x:c r="D4" s="39" t="str">
        <x:v>브랜치 이름에서 역할명이 아니라 사용자 GitHub ID를 사용하도록 팀 문서와 PR 템플릿을 정리한다.</x:v>
      </x:c>
      <x:c r="E4" s="39" t="str">
        <x:v>Platform/Integration</x:v>
      </x:c>
      <x:c r="F4" s="39" t="str">
        <x:v>platform-github-id</x:v>
      </x:c>
      <x:c r="G4" s="50" t="n">
        <x:v>46200</x:v>
      </x:c>
      <x:c r="H4" s="50" t="n">
        <x:v>46200</x:v>
      </x:c>
      <x:c r="I4" s="53" t="n">
        <x:f>H4-G4+1</x:f>
        <x:v>1</x:v>
      </x:c>
      <x:c r="J4" s="39" t="str">
        <x:v>P0</x:v>
      </x:c>
      <x:c r="K4" s="39" t="str">
        <x:v>진행중</x:v>
      </x:c>
      <x:c r="L4" s="39" t="str">
        <x:v>WBS-001</x:v>
      </x:c>
      <x:c r="M4" s="39" t="str">
        <x:v>브랜치 룰 문서</x:v>
      </x:c>
      <x:c r="N4" s="39" t="str">
        <x:v>feat/&lt;git-id&gt;/&lt;topic&gt; 형식으로 문서 통일</x:v>
      </x:c>
      <x:c r="O4" s="39" t="str">
        <x:v>rg로 old branch rule 검색</x:v>
      </x:c>
      <x:c r="P4" s="39" t="str">
        <x:f>"feat/"&amp;F4&amp;"/branch-rule-git-id"</x:f>
        <x:v>feat/platform-github-id/branch-rule-git-id</x:v>
      </x:c>
      <x:c r="Q4" s="40" t="str">
        <x:v>팀원 실제 GitHub ID 수집 필요</x:v>
      </x:c>
    </x:row>
    <x:row r="5" ht="36" customHeight="1">
      <x:c r="A5" s="38" t="str">
        <x:v>WBS-004</x:v>
      </x:c>
      <x:c r="B5" s="39" t="str">
        <x:v>1주차 기반 안정화</x:v>
      </x:c>
      <x:c r="C5" s="39" t="str">
        <x:v>CI 실패 PR merge 차단 검증</x:v>
      </x:c>
      <x:c r="D5" s="39" t="str">
        <x:v>의도적으로 실패하는 branch를 만들어 CI required check가 merge를 막는지 확인한다.</x:v>
      </x:c>
      <x:c r="E5" s="39" t="str">
        <x:v>Platform/Integration</x:v>
      </x:c>
      <x:c r="F5" s="39" t="str">
        <x:v>platform-github-id</x:v>
      </x:c>
      <x:c r="G5" s="50" t="n">
        <x:v>46200</x:v>
      </x:c>
      <x:c r="H5" s="50" t="n">
        <x:v>46201</x:v>
      </x:c>
      <x:c r="I5" s="53" t="n">
        <x:f>H5-G5+1</x:f>
        <x:v>2</x:v>
      </x:c>
      <x:c r="J5" s="39" t="str">
        <x:v>P1</x:v>
      </x:c>
      <x:c r="K5" s="39" t="str">
        <x:v>미시작</x:v>
      </x:c>
      <x:c r="L5" s="39" t="str">
        <x:v>WBS-002</x:v>
      </x:c>
      <x:c r="M5" s="39" t="str">
        <x:v>CI 차단 증거</x:v>
      </x:c>
      <x:c r="N5" s="39" t="str">
        <x:v>실패 check가 PR merge를 막음</x:v>
      </x:c>
      <x:c r="O5" s="39" t="str">
        <x:v>테스트 PR 또는 화면 캡처</x:v>
      </x:c>
      <x:c r="P5" s="39" t="str">
        <x:f>"feat/"&amp;F5&amp;"/ci-required-check-proof"</x:f>
        <x:v>feat/platform-github-id/ci-required-check-proof</x:v>
      </x:c>
      <x:c r="Q5" s="40" t="str">
        <x:v>테스트 PR은 merge하지 않음</x:v>
      </x:c>
    </x:row>
    <x:row r="6" ht="36" customHeight="1">
      <x:c r="A6" s="38" t="str">
        <x:v>WBS-005</x:v>
      </x:c>
      <x:c r="B6" s="39" t="str">
        <x:v>1주차 기반 안정화</x:v>
      </x:c>
      <x:c r="C6" s="39" t="str">
        <x:v>EventClient 사용 경계 점검</x:v>
      </x:c>
      <x:c r="D6" s="39" t="str">
        <x:v>worker code가 raw NATS 대신 EventClient와 EventHandlerSpec을 사용하는지 점검한다.</x:v>
      </x:c>
      <x:c r="E6" s="39" t="str">
        <x:v>Platform/Integration</x:v>
      </x:c>
      <x:c r="F6" s="39" t="str">
        <x:v>platform-github-id</x:v>
      </x:c>
      <x:c r="G6" s="50" t="n">
        <x:v>46200</x:v>
      </x:c>
      <x:c r="H6" s="50" t="n">
        <x:v>46201</x:v>
      </x:c>
      <x:c r="I6" s="53" t="n">
        <x:f>H6-G6+1</x:f>
        <x:v>2</x:v>
      </x:c>
      <x:c r="J6" s="39" t="str">
        <x:v>P0</x:v>
      </x:c>
      <x:c r="K6" s="39" t="str">
        <x:v>미시작</x:v>
      </x:c>
      <x:c r="L6" s="39" t="str">
        <x:v>WBS-001</x:v>
      </x:c>
      <x:c r="M6" s="39" t="str">
        <x:v>점검 결과와 수정 PR</x:v>
      </x:c>
      <x:c r="N6" s="39" t="str">
        <x:v>raw NATS 직접 사용 없음</x:v>
      </x:c>
      <x:c r="O6" s="39" t="str">
        <x:v>rg, make check</x:v>
      </x:c>
      <x:c r="P6" s="39" t="str">
        <x:f>"feat/"&amp;F6&amp;"/event-client-boundary"</x:f>
        <x:v>feat/platform-github-id/event-client-boundary</x:v>
      </x:c>
      <x:c r="Q6" s="40" t="str">
        <x:v>예외가 필요하면 docs/events.md에 기록</x:v>
      </x:c>
    </x:row>
    <x:row r="7" ht="36" customHeight="1">
      <x:c r="A7" s="38" t="str">
        <x:v>WBS-006</x:v>
      </x:c>
      <x:c r="B7" s="39" t="str">
        <x:v>1주차 기반 안정화</x:v>
      </x:c>
      <x:c r="C7" s="39" t="str">
        <x:v>DLQ 재처리 시나리오 고정</x:v>
      </x:c>
      <x:c r="D7" s="39" t="str">
        <x:v>실패 event를 DLQ에 넣고 조회와 replay로 복구하는 절차를 고정한다.</x:v>
      </x:c>
      <x:c r="E7" s="39" t="str">
        <x:v>Platform/Integration</x:v>
      </x:c>
      <x:c r="F7" s="39" t="str">
        <x:v>platform-github-id</x:v>
      </x:c>
      <x:c r="G7" s="50" t="n">
        <x:v>46201</x:v>
      </x:c>
      <x:c r="H7" s="50" t="n">
        <x:v>46202</x:v>
      </x:c>
      <x:c r="I7" s="53" t="n">
        <x:f>H7-G7+1</x:f>
        <x:v>2</x:v>
      </x:c>
      <x:c r="J7" s="39" t="str">
        <x:v>P0</x:v>
      </x:c>
      <x:c r="K7" s="39" t="str">
        <x:v>미시작</x:v>
      </x:c>
      <x:c r="L7" s="39" t="str">
        <x:v>WBS-005</x:v>
      </x:c>
      <x:c r="M7" s="39" t="str">
        <x:v>DLQ 시나리오</x:v>
      </x:c>
      <x:c r="N7" s="39" t="str">
        <x:v>event_dead_letters 저장, 조회, replay 확인</x:v>
      </x:c>
      <x:c r="O7" s="39" t="str">
        <x:v>make smoke, curl /dead-letters</x:v>
      </x:c>
      <x:c r="P7" s="39" t="str">
        <x:f>"feat/"&amp;F7&amp;"/dlq-replay-scenario"</x:f>
        <x:v>feat/platform-github-id/dlq-replay-scenario</x:v>
      </x:c>
      <x:c r="Q7" s="40" t="str">
        <x:v>대시보드 없이 curl 백업 가능</x:v>
      </x:c>
    </x:row>
    <x:row r="8" ht="36" customHeight="1">
      <x:c r="A8" s="38" t="str">
        <x:v>WBS-007</x:v>
      </x:c>
      <x:c r="B8" s="39" t="str">
        <x:v>1주차 기반 안정화</x:v>
      </x:c>
      <x:c r="C8" s="39" t="str">
        <x:v>management/target kind 환경 재현성 확인</x:v>
      </x:c>
      <x:c r="D8" s="39" t="str">
        <x:v>팀원 PC에서 make up/down/status가 같은 결과를 내도록 의존성과 스크립트를 점검한다.</x:v>
      </x:c>
      <x:c r="E8" s="39" t="str">
        <x:v>Platform/Integration</x:v>
      </x:c>
      <x:c r="F8" s="39" t="str">
        <x:v>platform-github-id</x:v>
      </x:c>
      <x:c r="G8" s="50" t="n">
        <x:v>46201</x:v>
      </x:c>
      <x:c r="H8" s="50" t="n">
        <x:v>46202</x:v>
      </x:c>
      <x:c r="I8" s="53" t="n">
        <x:f>H8-G8+1</x:f>
        <x:v>2</x:v>
      </x:c>
      <x:c r="J8" s="39" t="str">
        <x:v>P0</x:v>
      </x:c>
      <x:c r="K8" s="39" t="str">
        <x:v>미시작</x:v>
      </x:c>
      <x:c r="L8" s="39" t="str">
        <x:v>WBS-001</x:v>
      </x:c>
      <x:c r="M8" s="39" t="str">
        <x:v>환경 점검표</x:v>
      </x:c>
      <x:c r="N8" s="39" t="str">
        <x:v>2명 이상 PC에서 make up 성공</x:v>
      </x:c>
      <x:c r="O8" s="39" t="str">
        <x:v>make up, make status</x:v>
      </x:c>
      <x:c r="P8" s="39" t="str">
        <x:f>"feat/"&amp;F8&amp;"/kind-reproducibility"</x:f>
        <x:v>feat/platform-github-id/kind-reproducibility</x:v>
      </x:c>
      <x:c r="Q8" s="40" t="str">
        <x:v>Docker 리소스 부족 대응 포함</x:v>
      </x:c>
    </x:row>
    <x:row r="9" ht="36" customHeight="1">
      <x:c r="A9" s="38" t="str">
        <x:v>WBS-008</x:v>
      </x:c>
      <x:c r="B9" s="39" t="str">
        <x:v>1주차 기반 안정화</x:v>
      </x:c>
      <x:c r="C9" s="39" t="str">
        <x:v>수요일 demo runbook 작성</x:v>
      </x:c>
      <x:c r="D9" s="39" t="str">
        <x:v>2026-07-01 데모 순서와 실패 시 백업 명령을 runbook으로 작성한다.</x:v>
      </x:c>
      <x:c r="E9" s="39" t="str">
        <x:v>Platform/Integration</x:v>
      </x:c>
      <x:c r="F9" s="39" t="str">
        <x:v>platform-github-id</x:v>
      </x:c>
      <x:c r="G9" s="50" t="n">
        <x:v>46202</x:v>
      </x:c>
      <x:c r="H9" s="50" t="n">
        <x:v>46203</x:v>
      </x:c>
      <x:c r="I9" s="53" t="n">
        <x:f>H9-G9+1</x:f>
        <x:v>2</x:v>
      </x:c>
      <x:c r="J9" s="39" t="str">
        <x:v>P0</x:v>
      </x:c>
      <x:c r="K9" s="39" t="str">
        <x:v>미시작</x:v>
      </x:c>
      <x:c r="L9" s="39" t="str">
        <x:v>WBS-006,WBS-007</x:v>
      </x:c>
      <x:c r="M9" s="39" t="str">
        <x:v>demo runbook</x:v>
      </x:c>
      <x:c r="N9" s="39" t="str">
        <x:v>10분 안에 설명 가능한 순서 완성</x:v>
      </x:c>
      <x:c r="O9" s="39" t="str">
        <x:v>리허설 체크</x:v>
      </x:c>
      <x:c r="P9" s="39" t="str">
        <x:f>"feat/"&amp;F9&amp;"/week1-demo-runbook"</x:f>
        <x:v>feat/platform-github-id/week1-demo-runbook</x:v>
      </x:c>
      <x:c r="Q9" s="40" t="str">
        <x:v>보고일 전날 freeze</x:v>
      </x:c>
    </x:row>
    <x:row r="10" ht="36" customHeight="1">
      <x:c r="A10" s="38" t="str">
        <x:v>WBS-009</x:v>
      </x:c>
      <x:c r="B10" s="39" t="str">
        <x:v>1주차 기반 안정화</x:v>
      </x:c>
      <x:c r="C10" s="39" t="str">
        <x:v>1주차 통합 리허설</x:v>
      </x:c>
      <x:c r="D10" s="39" t="str">
        <x:v>event runtime, DLQ, node collector를 한 흐름으로 리허설한다.</x:v>
      </x:c>
      <x:c r="E10" s="39" t="str">
        <x:v>Platform/Integration</x:v>
      </x:c>
      <x:c r="F10" s="39" t="str">
        <x:v>platform-github-id</x:v>
      </x:c>
      <x:c r="G10" s="50" t="n">
        <x:v>46203</x:v>
      </x:c>
      <x:c r="H10" s="50" t="n">
        <x:v>46204</x:v>
      </x:c>
      <x:c r="I10" s="53" t="n">
        <x:f>H10-G10+1</x:f>
        <x:v>2</x:v>
      </x:c>
      <x:c r="J10" s="39" t="str">
        <x:v>P0</x:v>
      </x:c>
      <x:c r="K10" s="39" t="str">
        <x:v>미시작</x:v>
      </x:c>
      <x:c r="L10" s="39" t="str">
        <x:v>WBS-006,WBS-008</x:v>
      </x:c>
      <x:c r="M10" s="39" t="str">
        <x:v>리허설 로그</x:v>
      </x:c>
      <x:c r="N10" s="39" t="str">
        <x:v>make smoke, DLQ replay, node metrics 모두 성공</x:v>
      </x:c>
      <x:c r="O10" s="39" t="str">
        <x:v>make smoke, make status</x:v>
      </x:c>
      <x:c r="P10" s="39" t="str">
        <x:f>"feat/"&amp;F10&amp;"/week1-integration-rehearsal"</x:f>
        <x:v>feat/platform-github-id/week1-integration-rehearsal</x:v>
      </x:c>
      <x:c r="Q10" s="40" t="str">
        <x:v>수요일 오전은 critical fix만 허용</x:v>
      </x:c>
    </x:row>
    <x:row r="11" ht="36" customHeight="1">
      <x:c r="A11" s="38" t="str">
        <x:v>WBS-010</x:v>
      </x:c>
      <x:c r="B11" s="39" t="str">
        <x:v>Gateway/Auth</x:v>
      </x:c>
      <x:c r="C11" s="39" t="str">
        <x:v>OAuth provider 설정값 정리</x:v>
      </x:c>
      <x:c r="D11" s="39" t="str">
        <x:v>GitHub OAuth app에 필요한 callback URL, scope, client id/secret 저장 방식을 정한다.</x:v>
      </x:c>
      <x:c r="E11" s="39" t="str">
        <x:v>Gateway/Auth</x:v>
      </x:c>
      <x:c r="F11" s="39" t="str">
        <x:v>gateway-github-id</x:v>
      </x:c>
      <x:c r="G11" s="50" t="n">
        <x:v>46200</x:v>
      </x:c>
      <x:c r="H11" s="50" t="n">
        <x:v>46201</x:v>
      </x:c>
      <x:c r="I11" s="53" t="n">
        <x:f>H11-G11+1</x:f>
        <x:v>2</x:v>
      </x:c>
      <x:c r="J11" s="39" t="str">
        <x:v>P0</x:v>
      </x:c>
      <x:c r="K11" s="39" t="str">
        <x:v>미시작</x:v>
      </x:c>
      <x:c r="L11" s="39" t="str">
        <x:v>WBS-001</x:v>
      </x:c>
      <x:c r="M11" s="39" t="str">
        <x:v>OAuth 설정 문서</x:v>
      </x:c>
      <x:c r="N11" s="39" t="str">
        <x:v>client secret은 repo에 저장하지 않음</x:v>
      </x:c>
      <x:c r="O11" s="39" t="str">
        <x:v>docs/secrets.md, GitHub secret 확인</x:v>
      </x:c>
      <x:c r="P11" s="39" t="str">
        <x:f>"feat/"&amp;F11&amp;"/oauth-provider-config"</x:f>
        <x:v>feat/gateway-github-id/oauth-provider-config</x:v>
      </x:c>
      <x:c r="Q11" s="40" t="str">
        <x:v>secret 공유는 GitHub Secrets 또는 1Password</x:v>
      </x:c>
    </x:row>
    <x:row r="12" ht="36" customHeight="1">
      <x:c r="A12" s="38" t="str">
        <x:v>WBS-011</x:v>
      </x:c>
      <x:c r="B12" s="39" t="str">
        <x:v>Gateway/Auth</x:v>
      </x:c>
      <x:c r="C12" s="39" t="str">
        <x:v>GitHub OAuth start endpoint 정리</x:v>
      </x:c>
      <x:c r="D12" s="39" t="str">
        <x:v>/auth/oauth/github/start가 state와 redirect URL을 안정적으로 반환하도록 정리한다.</x:v>
      </x:c>
      <x:c r="E12" s="39" t="str">
        <x:v>Gateway/Auth</x:v>
      </x:c>
      <x:c r="F12" s="39" t="str">
        <x:v>gateway-github-id</x:v>
      </x:c>
      <x:c r="G12" s="50" t="n">
        <x:v>46201</x:v>
      </x:c>
      <x:c r="H12" s="50" t="n">
        <x:v>46202</x:v>
      </x:c>
      <x:c r="I12" s="53" t="n">
        <x:f>H12-G12+1</x:f>
        <x:v>2</x:v>
      </x:c>
      <x:c r="J12" s="39" t="str">
        <x:v>P0</x:v>
      </x:c>
      <x:c r="K12" s="39" t="str">
        <x:v>미시작</x:v>
      </x:c>
      <x:c r="L12" s="39" t="str">
        <x:v>WBS-010</x:v>
      </x:c>
      <x:c r="M12" s="39" t="str">
        <x:v>start endpoint</x:v>
      </x:c>
      <x:c r="N12" s="39" t="str">
        <x:v>state 저장과 redirect URL 생성 확인</x:v>
      </x:c>
      <x:c r="O12" s="39" t="str">
        <x:v>pytest gateway auth test</x:v>
      </x:c>
      <x:c r="P12" s="39" t="str">
        <x:f>"feat/"&amp;F12&amp;"/github-oauth-start"</x:f>
        <x:v>feat/gateway-github-id/github-oauth-start</x:v>
      </x:c>
      <x:c r="Q12" s="40" t="str">
        <x:v>state replay 방지 필요</x:v>
      </x:c>
    </x:row>
    <x:row r="13" ht="36" customHeight="1">
      <x:c r="A13" s="38" t="str">
        <x:v>WBS-012</x:v>
      </x:c>
      <x:c r="B13" s="39" t="str">
        <x:v>Gateway/Auth</x:v>
      </x:c>
      <x:c r="C13" s="39" t="str">
        <x:v>GitHub OAuth callback 실제 token exchange</x:v>
      </x:c>
      <x:c r="D13" s="39" t="str">
        <x:v>fake token exchange를 GitHub API code exchange로 교체한다.</x:v>
      </x:c>
      <x:c r="E13" s="39" t="str">
        <x:v>Gateway/Auth</x:v>
      </x:c>
      <x:c r="F13" s="39" t="str">
        <x:v>gateway-github-id</x:v>
      </x:c>
      <x:c r="G13" s="50" t="n">
        <x:v>46202</x:v>
      </x:c>
      <x:c r="H13" s="50" t="n">
        <x:v>46206</x:v>
      </x:c>
      <x:c r="I13" s="53" t="n">
        <x:f>H13-G13+1</x:f>
        <x:v>5</x:v>
      </x:c>
      <x:c r="J13" s="39" t="str">
        <x:v>P0</x:v>
      </x:c>
      <x:c r="K13" s="39" t="str">
        <x:v>미시작</x:v>
      </x:c>
      <x:c r="L13" s="39" t="str">
        <x:v>WBS-011</x:v>
      </x:c>
      <x:c r="M13" s="39" t="str">
        <x:v>실제 GitHub token exchange adapter</x:v>
      </x:c>
      <x:c r="N13" s="39" t="str">
        <x:v>provider token이 Token Vault record로 저장됨</x:v>
      </x:c>
      <x:c r="O13" s="39" t="str">
        <x:v>pytest, 수동 OAuth callback</x:v>
      </x:c>
      <x:c r="P13" s="39" t="str">
        <x:f>"feat/"&amp;F13&amp;"/github-oauth-token-exchange"</x:f>
        <x:v>feat/gateway-github-id/github-oauth-token-exchange</x:v>
      </x:c>
      <x:c r="Q13" s="40" t="str">
        <x:v>실제 secret은 GitHub Actions Secrets 또는 로컬 env</x:v>
      </x:c>
    </x:row>
    <x:row r="14" ht="36" customHeight="1">
      <x:c r="A14" s="38" t="str">
        <x:v>WBS-013</x:v>
      </x:c>
      <x:c r="B14" s="39" t="str">
        <x:v>Gateway/Auth</x:v>
      </x:c>
      <x:c r="C14" s="39" t="str">
        <x:v>session/JWT 발급 정책 확정</x:v>
      </x:c>
      <x:c r="D14" s="39" t="str">
        <x:v>OAuth 성공 후 session/JWT 발급, Redis 저장, 만료 정책을 확정한다.</x:v>
      </x:c>
      <x:c r="E14" s="39" t="str">
        <x:v>Gateway/Auth</x:v>
      </x:c>
      <x:c r="F14" s="39" t="str">
        <x:v>gateway-github-id</x:v>
      </x:c>
      <x:c r="G14" s="50" t="n">
        <x:v>46203</x:v>
      </x:c>
      <x:c r="H14" s="50" t="n">
        <x:v>46206</x:v>
      </x:c>
      <x:c r="I14" s="53" t="n">
        <x:f>H14-G14+1</x:f>
        <x:v>4</x:v>
      </x:c>
      <x:c r="J14" s="39" t="str">
        <x:v>P0</x:v>
      </x:c>
      <x:c r="K14" s="39" t="str">
        <x:v>미시작</x:v>
      </x:c>
      <x:c r="L14" s="39" t="str">
        <x:v>WBS-012</x:v>
      </x:c>
      <x:c r="M14" s="39" t="str">
        <x:v>session policy</x:v>
      </x:c>
      <x:c r="N14" s="39" t="str">
        <x:v>Authorization: Bearer token으로 보호 API 호출 가능</x:v>
      </x:c>
      <x:c r="O14" s="39" t="str">
        <x:v>pytest auth/session</x:v>
      </x:c>
      <x:c r="P14" s="39" t="str">
        <x:f>"feat/"&amp;F14&amp;"/session-policy"</x:f>
        <x:v>feat/gateway-github-id/session-policy</x:v>
      </x:c>
      <x:c r="Q14" s="40" t="str">
        <x:v>토큰 로그 출력 금지</x:v>
      </x:c>
    </x:row>
    <x:row r="15" ht="36" customHeight="1">
      <x:c r="A15" s="38" t="str">
        <x:v>WBS-014</x:v>
      </x:c>
      <x:c r="B15" s="39" t="str">
        <x:v>Gateway/Auth</x:v>
      </x:c>
      <x:c r="C15" s="39" t="str">
        <x:v>Command API policy guard 강화</x:v>
      </x:c>
      <x:c r="D15" s="39" t="str">
        <x:v>/commands 요청이 session, namespace, action policy를 모두 통과하게 한다.</x:v>
      </x:c>
      <x:c r="E15" s="39" t="str">
        <x:v>Gateway/Auth</x:v>
      </x:c>
      <x:c r="F15" s="39" t="str">
        <x:v>gateway-github-id</x:v>
      </x:c>
      <x:c r="G15" s="50" t="n">
        <x:v>46205</x:v>
      </x:c>
      <x:c r="H15" s="50" t="n">
        <x:v>46208</x:v>
      </x:c>
      <x:c r="I15" s="53" t="n">
        <x:f>H15-G15+1</x:f>
        <x:v>4</x:v>
      </x:c>
      <x:c r="J15" s="39" t="str">
        <x:v>P0</x:v>
      </x:c>
      <x:c r="K15" s="39" t="str">
        <x:v>미시작</x:v>
      </x:c>
      <x:c r="L15" s="39" t="str">
        <x:v>WBS-013</x:v>
      </x:c>
      <x:c r="M15" s="39" t="str">
        <x:v>command policy guard</x:v>
      </x:c>
      <x:c r="N15" s="39" t="str">
        <x:v>sandbox 외 write 요청 거부</x:v>
      </x:c>
      <x:c r="O15" s="39" t="str">
        <x:v>pytest command API</x:v>
      </x:c>
      <x:c r="P15" s="39" t="str">
        <x:f>"feat/"&amp;F15&amp;"/command-policy-guard"</x:f>
        <x:v>feat/gateway-github-id/command-policy-guard</x:v>
      </x:c>
      <x:c r="Q15" s="40" t="str">
        <x:v>production write 금지 유지</x:v>
      </x:c>
    </x:row>
    <x:row r="16" ht="36" customHeight="1">
      <x:c r="A16" s="38" t="str">
        <x:v>WBS-015</x:v>
      </x:c>
      <x:c r="B16" s="39" t="str">
        <x:v>Gateway/Auth</x:v>
      </x:c>
      <x:c r="C16" s="39" t="str">
        <x:v>DLQ API session 보호</x:v>
      </x:c>
      <x:c r="D16" s="39" t="str">
        <x:v>/dead-letters 조회/replay가 session 없이는 실패하도록 보호한다.</x:v>
      </x:c>
      <x:c r="E16" s="39" t="str">
        <x:v>Gateway/Auth</x:v>
      </x:c>
      <x:c r="F16" s="39" t="str">
        <x:v>gateway-github-id</x:v>
      </x:c>
      <x:c r="G16" s="50" t="n">
        <x:v>46206</x:v>
      </x:c>
      <x:c r="H16" s="50" t="n">
        <x:v>46208</x:v>
      </x:c>
      <x:c r="I16" s="53" t="n">
        <x:f>H16-G16+1</x:f>
        <x:v>3</x:v>
      </x:c>
      <x:c r="J16" s="39" t="str">
        <x:v>P1</x:v>
      </x:c>
      <x:c r="K16" s="39" t="str">
        <x:v>미시작</x:v>
      </x:c>
      <x:c r="L16" s="39" t="str">
        <x:v>WBS-013,WBS-006</x:v>
      </x:c>
      <x:c r="M16" s="39" t="str">
        <x:v>DLQ auth guard</x:v>
      </x:c>
      <x:c r="N16" s="39" t="str">
        <x:v>인증 없이 401/403 반환</x:v>
      </x:c>
      <x:c r="O16" s="39" t="str">
        <x:v>pytest DLQ API</x:v>
      </x:c>
      <x:c r="P16" s="39" t="str">
        <x:f>"feat/"&amp;F16&amp;"/dlq-api-auth"</x:f>
        <x:v>feat/gateway-github-id/dlq-api-auth</x:v>
      </x:c>
      <x:c r="Q16" s="40" t="str">
        <x:v>운영 기능이라 audit 필요</x:v>
      </x:c>
    </x:row>
    <x:row r="17" ht="36" customHeight="1">
      <x:c r="A17" s="38" t="str">
        <x:v>WBS-016</x:v>
      </x:c>
      <x:c r="B17" s="39" t="str">
        <x:v>Gateway/Auth</x:v>
      </x:c>
      <x:c r="C17" s="39" t="str">
        <x:v>agent evidence ingestion validation</x:v>
      </x:c>
      <x:c r="D17" s="39" t="str">
        <x:v>/agent/evidence payload에 대한 schema validation과 idempotency key를 강화한다.</x:v>
      </x:c>
      <x:c r="E17" s="39" t="str">
        <x:v>Gateway/Auth</x:v>
      </x:c>
      <x:c r="F17" s="39" t="str">
        <x:v>gateway-github-id</x:v>
      </x:c>
      <x:c r="G17" s="50" t="n">
        <x:v>46208</x:v>
      </x:c>
      <x:c r="H17" s="50" t="n">
        <x:v>46210</x:v>
      </x:c>
      <x:c r="I17" s="53" t="n">
        <x:f>H17-G17+1</x:f>
        <x:v>3</x:v>
      </x:c>
      <x:c r="J17" s="39" t="str">
        <x:v>P1</x:v>
      </x:c>
      <x:c r="K17" s="39" t="str">
        <x:v>미시작</x:v>
      </x:c>
      <x:c r="L17" s="39" t="str">
        <x:v>WBS-014</x:v>
      </x:c>
      <x:c r="M17" s="39" t="str">
        <x:v>agent evidence schema</x:v>
      </x:c>
      <x:c r="N17" s="39" t="str">
        <x:v>잘못된 evidence payload 거부</x:v>
      </x:c>
      <x:c r="O17" s="39" t="str">
        <x:v>pytest agent endpoint</x:v>
      </x:c>
      <x:c r="P17" s="39" t="str">
        <x:f>"feat/"&amp;F17&amp;"/agent-evidence-validation"</x:f>
        <x:v>feat/gateway-github-id/agent-evidence-validation</x:v>
      </x:c>
      <x:c r="Q17" s="40" t="str">
        <x:v>Target/Telemetry와 payload 계약 조율</x:v>
      </x:c>
    </x:row>
    <x:row r="18" ht="36" customHeight="1">
      <x:c r="A18" s="38" t="str">
        <x:v>WBS-017</x:v>
      </x:c>
      <x:c r="B18" s="39" t="str">
        <x:v>Gateway/Auth</x:v>
      </x:c>
      <x:c r="C18" s="39" t="str">
        <x:v>7월 8일 OAuth 데모 리허설</x:v>
      </x:c>
      <x:c r="D18" s="39" t="str">
        <x:v>GitHub OAuth 로그인부터 command API 호출까지 데모 흐름을 점검한다.</x:v>
      </x:c>
      <x:c r="E18" s="39" t="str">
        <x:v>Gateway/Auth</x:v>
      </x:c>
      <x:c r="F18" s="39" t="str">
        <x:v>gateway-github-id</x:v>
      </x:c>
      <x:c r="G18" s="50" t="n">
        <x:v>46210</x:v>
      </x:c>
      <x:c r="H18" s="50" t="n">
        <x:v>46211</x:v>
      </x:c>
      <x:c r="I18" s="53" t="n">
        <x:f>H18-G18+1</x:f>
        <x:v>2</x:v>
      </x:c>
      <x:c r="J18" s="39" t="str">
        <x:v>P0</x:v>
      </x:c>
      <x:c r="K18" s="39" t="str">
        <x:v>미시작</x:v>
      </x:c>
      <x:c r="L18" s="39" t="str">
        <x:v>WBS-012,WBS-013,WBS-014</x:v>
      </x:c>
      <x:c r="M18" s="39" t="str">
        <x:v>OAuth demo proof</x:v>
      </x:c>
      <x:c r="N18" s="39" t="str">
        <x:v>로그인 후 보호 API 호출 성공</x:v>
      </x:c>
      <x:c r="O18" s="39" t="str">
        <x:v>수동 리허설, make smoke</x:v>
      </x:c>
      <x:c r="P18" s="39" t="str">
        <x:f>"feat/"&amp;F18&amp;"/week2-oauth-rehearsal"</x:f>
        <x:v>feat/gateway-github-id/week2-oauth-rehearsal</x:v>
      </x:c>
      <x:c r="Q18" s="40" t="str">
        <x:v>Safe PR 데모와 연결</x:v>
      </x:c>
    </x:row>
    <x:row r="19" ht="36" customHeight="1">
      <x:c r="A19" s="38" t="str">
        <x:v>WBS-018</x:v>
      </x:c>
      <x:c r="B19" s="39" t="str">
        <x:v>GitOps/Command</x:v>
      </x:c>
      <x:c r="C19" s="39" t="str">
        <x:v>Git webhook payload schema 정리</x:v>
      </x:c>
      <x:c r="D19" s="39" t="str">
        <x:v>GitHub webhook 입력을 repo, commit, branch, changed file 기준으로 정규화한다.</x:v>
      </x:c>
      <x:c r="E19" s="39" t="str">
        <x:v>GitOps/Command</x:v>
      </x:c>
      <x:c r="F19" s="39" t="str">
        <x:v>gitops-github-id</x:v>
      </x:c>
      <x:c r="G19" s="50" t="n">
        <x:v>46200</x:v>
      </x:c>
      <x:c r="H19" s="50" t="n">
        <x:v>46201</x:v>
      </x:c>
      <x:c r="I19" s="53" t="n">
        <x:f>H19-G19+1</x:f>
        <x:v>2</x:v>
      </x:c>
      <x:c r="J19" s="39" t="str">
        <x:v>P0</x:v>
      </x:c>
      <x:c r="K19" s="39" t="str">
        <x:v>미시작</x:v>
      </x:c>
      <x:c r="L19" s="39" t="str">
        <x:v>WBS-001</x:v>
      </x:c>
      <x:c r="M19" s="39" t="str">
        <x:v>webhook schema</x:v>
      </x:c>
      <x:c r="N19" s="39" t="str">
        <x:v>git.webhook.received payload 계약 확정</x:v>
      </x:c>
      <x:c r="O19" s="39" t="str">
        <x:v>pytest schema</x:v>
      </x:c>
      <x:c r="P19" s="39" t="str">
        <x:f>"feat/"&amp;F19&amp;"/git-webhook-schema"</x:f>
        <x:v>feat/gitops-github-id/git-webhook-schema</x:v>
      </x:c>
      <x:c r="Q19" s="40" t="str">
        <x:v>Gateway/Auth와 endpoint 계약 조율</x:v>
      </x:c>
    </x:row>
    <x:row r="20" ht="36" customHeight="1">
      <x:c r="A20" s="38" t="str">
        <x:v>WBS-019</x:v>
      </x:c>
      <x:c r="B20" s="39" t="str">
        <x:v>GitOps/Command</x:v>
      </x:c>
      <x:c r="C20" s="39" t="str">
        <x:v>manifest renderer 입력 모델 확정</x:v>
      </x:c>
      <x:c r="D20" s="39" t="str">
        <x:v>repo metadata와 Helm/YAML 입력을 manifest render request로 바꾸는 모델을 정의한다.</x:v>
      </x:c>
      <x:c r="E20" s="39" t="str">
        <x:v>GitOps/Command</x:v>
      </x:c>
      <x:c r="F20" s="39" t="str">
        <x:v>gitops-github-id</x:v>
      </x:c>
      <x:c r="G20" s="50" t="n">
        <x:v>46201</x:v>
      </x:c>
      <x:c r="H20" s="50" t="n">
        <x:v>46202</x:v>
      </x:c>
      <x:c r="I20" s="53" t="n">
        <x:f>H20-G20+1</x:f>
        <x:v>2</x:v>
      </x:c>
      <x:c r="J20" s="39" t="str">
        <x:v>P0</x:v>
      </x:c>
      <x:c r="K20" s="39" t="str">
        <x:v>미시작</x:v>
      </x:c>
      <x:c r="L20" s="39" t="str">
        <x:v>WBS-018</x:v>
      </x:c>
      <x:c r="M20" s="39" t="str">
        <x:v>manifest render model</x:v>
      </x:c>
      <x:c r="N20" s="39" t="str">
        <x:v>render input에 repo/ref/path 포함</x:v>
      </x:c>
      <x:c r="O20" s="39" t="str">
        <x:v>pytest manifest model</x:v>
      </x:c>
      <x:c r="P20" s="39" t="str">
        <x:f>"feat/"&amp;F20&amp;"/manifest-render-model"</x:f>
        <x:v>feat/gitops-github-id/manifest-render-model</x:v>
      </x:c>
      <x:c r="Q20" s="40" t="str">
        <x:v>실제 Helm 연동 전 fake renderer 유지</x:v>
      </x:c>
    </x:row>
    <x:row r="21" ht="36" customHeight="1">
      <x:c r="A21" s="38" t="str">
        <x:v>WBS-020</x:v>
      </x:c>
      <x:c r="B21" s="39" t="str">
        <x:v>GitOps/Command</x:v>
      </x:c>
      <x:c r="C21" s="39" t="str">
        <x:v>manifest.rendered event 발행</x:v>
      </x:c>
      <x:c r="D21" s="39" t="str">
        <x:v>GitOps worker가 render 결과를 manifest.rendered로 발행하게 한다.</x:v>
      </x:c>
      <x:c r="E21" s="39" t="str">
        <x:v>GitOps/Command</x:v>
      </x:c>
      <x:c r="F21" s="39" t="str">
        <x:v>gitops-github-id</x:v>
      </x:c>
      <x:c r="G21" s="50" t="n">
        <x:v>46202</x:v>
      </x:c>
      <x:c r="H21" s="50" t="n">
        <x:v>46204</x:v>
      </x:c>
      <x:c r="I21" s="53" t="n">
        <x:f>H21-G21+1</x:f>
        <x:v>3</x:v>
      </x:c>
      <x:c r="J21" s="39" t="str">
        <x:v>P0</x:v>
      </x:c>
      <x:c r="K21" s="39" t="str">
        <x:v>미시작</x:v>
      </x:c>
      <x:c r="L21" s="39" t="str">
        <x:v>WBS-019</x:v>
      </x:c>
      <x:c r="M21" s="39" t="str">
        <x:v>manifest.rendered event</x:v>
      </x:c>
      <x:c r="N21" s="39" t="str">
        <x:v>event_processing에 처리 이력 남음</x:v>
      </x:c>
      <x:c r="O21" s="39" t="str">
        <x:v>pytest worker event</x:v>
      </x:c>
      <x:c r="P21" s="39" t="str">
        <x:f>"feat/"&amp;F21&amp;"/manifest-rendered-event"</x:f>
        <x:v>feat/gitops-github-id/manifest-rendered-event</x:v>
      </x:c>
      <x:c r="Q21" s="40" t="str">
        <x:v>EventSubject와 docs/events.md 수정</x:v>
      </x:c>
    </x:row>
    <x:row r="22" ht="36" customHeight="1">
      <x:c r="A22" s="38" t="str">
        <x:v>WBS-021</x:v>
      </x:c>
      <x:c r="B22" s="39" t="str">
        <x:v>GitOps/Command</x:v>
      </x:c>
      <x:c r="C22" s="39" t="str">
        <x:v>desired diff engine 기본 구현</x:v>
      </x:c>
      <x:c r="D22" s="39" t="str">
        <x:v>현재 상태와 desired manifest를 비교해 추가/수정/삭제 후보를 구조화한다.</x:v>
      </x:c>
      <x:c r="E22" s="39" t="str">
        <x:v>GitOps/Command</x:v>
      </x:c>
      <x:c r="F22" s="39" t="str">
        <x:v>gitops-github-id</x:v>
      </x:c>
      <x:c r="G22" s="50" t="n">
        <x:v>46204</x:v>
      </x:c>
      <x:c r="H22" s="50" t="n">
        <x:v>46207</x:v>
      </x:c>
      <x:c r="I22" s="53" t="n">
        <x:f>H22-G22+1</x:f>
        <x:v>4</x:v>
      </x:c>
      <x:c r="J22" s="39" t="str">
        <x:v>P0</x:v>
      </x:c>
      <x:c r="K22" s="39" t="str">
        <x:v>미시작</x:v>
      </x:c>
      <x:c r="L22" s="39" t="str">
        <x:v>WBS-020</x:v>
      </x:c>
      <x:c r="M22" s="39" t="str">
        <x:v>desired diff result</x:v>
      </x:c>
      <x:c r="N22" s="39" t="str">
        <x:v>diff가 command 후보로 변환 가능</x:v>
      </x:c>
      <x:c r="O22" s="39" t="str">
        <x:v>pytest diff engine</x:v>
      </x:c>
      <x:c r="P22" s="39" t="str">
        <x:f>"feat/"&amp;F22&amp;"/desired-diff-engine"</x:f>
        <x:v>feat/gitops-github-id/desired-diff-engine</x:v>
      </x:c>
      <x:c r="Q22" s="40" t="str">
        <x:v>실제 K8s apply는 금지</x:v>
      </x:c>
    </x:row>
    <x:row r="23" ht="36" customHeight="1">
      <x:c r="A23" s="38" t="str">
        <x:v>WBS-022</x:v>
      </x:c>
      <x:c r="B23" s="39" t="str">
        <x:v>GitOps/Command</x:v>
      </x:c>
      <x:c r="C23" s="39" t="str">
        <x:v>command.requested 생성</x:v>
      </x:c>
      <x:c r="D23" s="39" t="str">
        <x:v>diff 결과를 sandbox namespace 기준 command.requested event로 변환한다.</x:v>
      </x:c>
      <x:c r="E23" s="39" t="str">
        <x:v>GitOps/Command</x:v>
      </x:c>
      <x:c r="F23" s="39" t="str">
        <x:v>gitops-github-id</x:v>
      </x:c>
      <x:c r="G23" s="50" t="n">
        <x:v>46206</x:v>
      </x:c>
      <x:c r="H23" s="50" t="n">
        <x:v>46208</x:v>
      </x:c>
      <x:c r="I23" s="53" t="n">
        <x:f>H23-G23+1</x:f>
        <x:v>3</x:v>
      </x:c>
      <x:c r="J23" s="39" t="str">
        <x:v>P0</x:v>
      </x:c>
      <x:c r="K23" s="39" t="str">
        <x:v>미시작</x:v>
      </x:c>
      <x:c r="L23" s="39" t="str">
        <x:v>WBS-021</x:v>
      </x:c>
      <x:c r="M23" s="39" t="str">
        <x:v>command.requested flow</x:v>
      </x:c>
      <x:c r="N23" s="39" t="str">
        <x:v>namespace guard 포함</x:v>
      </x:c>
      <x:c r="O23" s="39" t="str">
        <x:v>pytest command generation</x:v>
      </x:c>
      <x:c r="P23" s="39" t="str">
        <x:f>"feat/"&amp;F23&amp;"/command-requested-generation"</x:f>
        <x:v>feat/gitops-github-id/command-requested-generation</x:v>
      </x:c>
      <x:c r="Q23" s="40" t="str">
        <x:v>Target payload와 조율</x:v>
      </x:c>
    </x:row>
    <x:row r="24" ht="36" customHeight="1">
      <x:c r="A24" s="38" t="str">
        <x:v>WBS-023</x:v>
      </x:c>
      <x:c r="B24" s="39" t="str">
        <x:v>GitOps/Command</x:v>
      </x:c>
      <x:c r="C24" s="39" t="str">
        <x:v>Command Worker policy 상태 분리</x:v>
      </x:c>
      <x:c r="D24" s="39" t="str">
        <x:v>command-worker에서 command validation, rejection, dispatch ready 상태를 분리한다.</x:v>
      </x:c>
      <x:c r="E24" s="39" t="str">
        <x:v>GitOps/Command</x:v>
      </x:c>
      <x:c r="F24" s="39" t="str">
        <x:v>gitops-github-id</x:v>
      </x:c>
      <x:c r="G24" s="50" t="n">
        <x:v>46207</x:v>
      </x:c>
      <x:c r="H24" s="50" t="n">
        <x:v>46209</x:v>
      </x:c>
      <x:c r="I24" s="53" t="n">
        <x:f>H24-G24+1</x:f>
        <x:v>3</x:v>
      </x:c>
      <x:c r="J24" s="39" t="str">
        <x:v>P0</x:v>
      </x:c>
      <x:c r="K24" s="39" t="str">
        <x:v>미시작</x:v>
      </x:c>
      <x:c r="L24" s="39" t="str">
        <x:v>WBS-022,WBS-014</x:v>
      </x:c>
      <x:c r="M24" s="39" t="str">
        <x:v>command worker state</x:v>
      </x:c>
      <x:c r="N24" s="39" t="str">
        <x:v>command.rejected와 command.dispatch.ready 발행</x:v>
      </x:c>
      <x:c r="O24" s="39" t="str">
        <x:v>pytest command worker</x:v>
      </x:c>
      <x:c r="P24" s="39" t="str">
        <x:f>"feat/"&amp;F24&amp;"/command-worker-policy-state"</x:f>
        <x:v>feat/gitops-github-id/command-worker-policy-state</x:v>
      </x:c>
      <x:c r="Q24" s="40" t="str">
        <x:v>Gateway policy와 중복 최소화</x:v>
      </x:c>
    </x:row>
    <x:row r="25" ht="36" customHeight="1">
      <x:c r="A25" s="38" t="str">
        <x:v>WBS-024</x:v>
      </x:c>
      <x:c r="B25" s="39" t="str">
        <x:v>GitOps/Command</x:v>
      </x:c>
      <x:c r="C25" s="39" t="str">
        <x:v>agent queue 저장 안정화</x:v>
      </x:c>
      <x:c r="D25" s="39" t="str">
        <x:v>Target Agent가 polling할 command queue를 idempotent하게 저장한다.</x:v>
      </x:c>
      <x:c r="E25" s="39" t="str">
        <x:v>GitOps/Command</x:v>
      </x:c>
      <x:c r="F25" s="39" t="str">
        <x:v>gitops-github-id</x:v>
      </x:c>
      <x:c r="G25" s="50" t="n">
        <x:v>46208</x:v>
      </x:c>
      <x:c r="H25" s="50" t="n">
        <x:v>46210</x:v>
      </x:c>
      <x:c r="I25" s="53" t="n">
        <x:f>H25-G25+1</x:f>
        <x:v>3</x:v>
      </x:c>
      <x:c r="J25" s="39" t="str">
        <x:v>P0</x:v>
      </x:c>
      <x:c r="K25" s="39" t="str">
        <x:v>미시작</x:v>
      </x:c>
      <x:c r="L25" s="39" t="str">
        <x:v>WBS-023</x:v>
      </x:c>
      <x:c r="M25" s="39" t="str">
        <x:v>agent command queue</x:v>
      </x:c>
      <x:c r="N25" s="39" t="str">
        <x:v>중복 event에도 command row 중복 없음</x:v>
      </x:c>
      <x:c r="O25" s="39" t="str">
        <x:v>pytest idempotency</x:v>
      </x:c>
      <x:c r="P25" s="39" t="str">
        <x:f>"feat/"&amp;F25&amp;"/agent-command-queue"</x:f>
        <x:v>feat/gitops-github-id/agent-command-queue</x:v>
      </x:c>
      <x:c r="Q25" s="40" t="str">
        <x:v>DB unique key 필요</x:v>
      </x:c>
    </x:row>
    <x:row r="26" ht="36" customHeight="1">
      <x:c r="A26" s="38" t="str">
        <x:v>WBS-025</x:v>
      </x:c>
      <x:c r="B26" s="39" t="str">
        <x:v>GitOps/Command</x:v>
      </x:c>
      <x:c r="C26" s="39" t="str">
        <x:v>command.completed 처리</x:v>
      </x:c>
      <x:c r="D26" s="39" t="str">
        <x:v>Target Agent 결과를 command.completed로 받아 상태와 audit를 업데이트한다.</x:v>
      </x:c>
      <x:c r="E26" s="39" t="str">
        <x:v>GitOps/Command</x:v>
      </x:c>
      <x:c r="F26" s="39" t="str">
        <x:v>gitops-github-id</x:v>
      </x:c>
      <x:c r="G26" s="50" t="n">
        <x:v>46209</x:v>
      </x:c>
      <x:c r="H26" s="50" t="n">
        <x:v>46211</x:v>
      </x:c>
      <x:c r="I26" s="53" t="n">
        <x:f>H26-G26+1</x:f>
        <x:v>3</x:v>
      </x:c>
      <x:c r="J26" s="39" t="str">
        <x:v>P1</x:v>
      </x:c>
      <x:c r="K26" s="39" t="str">
        <x:v>미시작</x:v>
      </x:c>
      <x:c r="L26" s="39" t="str">
        <x:v>WBS-024</x:v>
      </x:c>
      <x:c r="M26" s="39" t="str">
        <x:v>command completion flow</x:v>
      </x:c>
      <x:c r="N26" s="39" t="str">
        <x:v>성공/실패 상태가 read model로 반영</x:v>
      </x:c>
      <x:c r="O26" s="39" t="str">
        <x:v>pytest completion flow</x:v>
      </x:c>
      <x:c r="P26" s="39" t="str">
        <x:f>"feat/"&amp;F26&amp;"/command-completed-flow"</x:f>
        <x:v>feat/gitops-github-id/command-completed-flow</x:v>
      </x:c>
      <x:c r="Q26" s="40" t="str">
        <x:v>RCA 트리거와 조율</x:v>
      </x:c>
    </x:row>
    <x:row r="27" ht="36" customHeight="1">
      <x:c r="A27" s="38" t="str">
        <x:v>WBS-026</x:v>
      </x:c>
      <x:c r="B27" s="39" t="str">
        <x:v>GitOps/Command</x:v>
      </x:c>
      <x:c r="C27" s="39" t="str">
        <x:v>7월 22일 GitOps 운영 데모 준비</x:v>
      </x:c>
      <x:c r="D27" s="39" t="str">
        <x:v>Git 변경부터 command 상태 확인까지 대시보드 없이 curl/stream으로 보여줄 흐름을 준비한다.</x:v>
      </x:c>
      <x:c r="E27" s="39" t="str">
        <x:v>GitOps/Command</x:v>
      </x:c>
      <x:c r="F27" s="39" t="str">
        <x:v>gitops-github-id</x:v>
      </x:c>
      <x:c r="G27" s="50" t="n">
        <x:v>46222</x:v>
      </x:c>
      <x:c r="H27" s="50" t="n">
        <x:v>46225</x:v>
      </x:c>
      <x:c r="I27" s="53" t="n">
        <x:f>H27-G27+1</x:f>
        <x:v>4</x:v>
      </x:c>
      <x:c r="J27" s="39" t="str">
        <x:v>P1</x:v>
      </x:c>
      <x:c r="K27" s="39" t="str">
        <x:v>미시작</x:v>
      </x:c>
      <x:c r="L27" s="39" t="str">
        <x:v>WBS-025</x:v>
      </x:c>
      <x:c r="M27" s="39" t="str">
        <x:v>GitOps demo script</x:v>
      </x:c>
      <x:c r="N27" s="39" t="str">
        <x:v>Git webhook -&gt; command 완료 흐름 시연 가능</x:v>
      </x:c>
      <x:c r="O27" s="39" t="str">
        <x:v>demo rehearsal</x:v>
      </x:c>
      <x:c r="P27" s="39" t="str">
        <x:f>"feat/"&amp;F27&amp;"/gitops-demo-flow"</x:f>
        <x:v>feat/gitops-github-id/gitops-demo-flow</x:v>
      </x:c>
      <x:c r="Q27" s="40" t="str">
        <x:v>UI 지연 시 CLI 백업</x:v>
      </x:c>
    </x:row>
    <x:row r="28" ht="36" customHeight="1">
      <x:c r="A28" s="38" t="str">
        <x:v>WBS-027</x:v>
      </x:c>
      <x:c r="B28" s="39" t="str">
        <x:v>RCA/Safe PR</x:v>
      </x:c>
      <x:c r="C28" s="39" t="str">
        <x:v>evidence.built schema 확정</x:v>
      </x:c>
      <x:c r="D28" s="39" t="str">
        <x:v>K8s event, log snippet, metric sample, source reference를 포함하는 evidence schema를 확정한다.</x:v>
      </x:c>
      <x:c r="E28" s="39" t="str">
        <x:v>RCA/Safe PR</x:v>
      </x:c>
      <x:c r="F28" s="39" t="str">
        <x:v>rca-github-id</x:v>
      </x:c>
      <x:c r="G28" s="50" t="n">
        <x:v>46201</x:v>
      </x:c>
      <x:c r="H28" s="50" t="n">
        <x:v>46203</x:v>
      </x:c>
      <x:c r="I28" s="53" t="n">
        <x:f>H28-G28+1</x:f>
        <x:v>3</x:v>
      </x:c>
      <x:c r="J28" s="39" t="str">
        <x:v>P0</x:v>
      </x:c>
      <x:c r="K28" s="39" t="str">
        <x:v>미시작</x:v>
      </x:c>
      <x:c r="L28" s="39" t="str">
        <x:v>WBS-001</x:v>
      </x:c>
      <x:c r="M28" s="39" t="str">
        <x:v>evidence schema</x:v>
      </x:c>
      <x:c r="N28" s="39" t="str">
        <x:v>cluster.evidence.received에서 evidence.built 변환 가능</x:v>
      </x:c>
      <x:c r="O28" s="39" t="str">
        <x:v>pytest RCA schema</x:v>
      </x:c>
      <x:c r="P28" s="39" t="str">
        <x:f>"feat/"&amp;F28&amp;"/evidence-schema"</x:f>
        <x:v>feat/rca-github-id/evidence-schema</x:v>
      </x:c>
      <x:c r="Q28" s="40" t="str">
        <x:v>Target/Telemetry와 계약 필요</x:v>
      </x:c>
    </x:row>
    <x:row r="29" ht="36" customHeight="1">
      <x:c r="A29" s="38" t="str">
        <x:v>WBS-028</x:v>
      </x:c>
      <x:c r="B29" s="39" t="str">
        <x:v>RCA/Safe PR</x:v>
      </x:c>
      <x:c r="C29" s="39" t="str">
        <x:v>RCA rule 기반 baseline 구현</x:v>
      </x:c>
      <x:c r="D29" s="39" t="str">
        <x:v>LLM 없이도 evidence pack에서 기본 RCA summary를 만들 수 있는 rule baseline을 만든다.</x:v>
      </x:c>
      <x:c r="E29" s="39" t="str">
        <x:v>RCA/Safe PR</x:v>
      </x:c>
      <x:c r="F29" s="39" t="str">
        <x:v>rca-github-id</x:v>
      </x:c>
      <x:c r="G29" s="50" t="n">
        <x:v>46203</x:v>
      </x:c>
      <x:c r="H29" s="50" t="n">
        <x:v>46206</x:v>
      </x:c>
      <x:c r="I29" s="53" t="n">
        <x:f>H29-G29+1</x:f>
        <x:v>4</x:v>
      </x:c>
      <x:c r="J29" s="39" t="str">
        <x:v>P0</x:v>
      </x:c>
      <x:c r="K29" s="39" t="str">
        <x:v>미시작</x:v>
      </x:c>
      <x:c r="L29" s="39" t="str">
        <x:v>WBS-027</x:v>
      </x:c>
      <x:c r="M29" s="39" t="str">
        <x:v>RCA baseline</x:v>
      </x:c>
      <x:c r="N29" s="39" t="str">
        <x:v>근거 없는 추론 없이 RCA 출력</x:v>
      </x:c>
      <x:c r="O29" s="39" t="str">
        <x:v>pytest RCA worker</x:v>
      </x:c>
      <x:c r="P29" s="39" t="str">
        <x:f>"feat/"&amp;F29&amp;"/rca-rule-baseline"</x:f>
        <x:v>feat/rca-github-id/rca-rule-baseline</x:v>
      </x:c>
      <x:c r="Q29" s="40" t="str">
        <x:v>AI 연동 전 fallback</x:v>
      </x:c>
    </x:row>
    <x:row r="30" ht="36" customHeight="1">
      <x:c r="A30" s="38" t="str">
        <x:v>WBS-029</x:v>
      </x:c>
      <x:c r="B30" s="39" t="str">
        <x:v>RCA/Safe PR</x:v>
      </x:c>
      <x:c r="C30" s="39" t="str">
        <x:v>rca.completed event 계약</x:v>
      </x:c>
      <x:c r="D30" s="39" t="str">
        <x:v>RCA 결과를 rca.completed event로 발행하고 audit/read model로 이어지게 한다.</x:v>
      </x:c>
      <x:c r="E30" s="39" t="str">
        <x:v>RCA/Safe PR</x:v>
      </x:c>
      <x:c r="F30" s="39" t="str">
        <x:v>rca-github-id</x:v>
      </x:c>
      <x:c r="G30" s="50" t="n">
        <x:v>46205</x:v>
      </x:c>
      <x:c r="H30" s="50" t="n">
        <x:v>46207</x:v>
      </x:c>
      <x:c r="I30" s="53" t="n">
        <x:f>H30-G30+1</x:f>
        <x:v>3</x:v>
      </x:c>
      <x:c r="J30" s="39" t="str">
        <x:v>P0</x:v>
      </x:c>
      <x:c r="K30" s="39" t="str">
        <x:v>미시작</x:v>
      </x:c>
      <x:c r="L30" s="39" t="str">
        <x:v>WBS-028</x:v>
      </x:c>
      <x:c r="M30" s="39" t="str">
        <x:v>rca.completed event</x:v>
      </x:c>
      <x:c r="N30" s="39" t="str">
        <x:v>correlation_id 유지</x:v>
      </x:c>
      <x:c r="O30" s="39" t="str">
        <x:v>pytest event chain</x:v>
      </x:c>
      <x:c r="P30" s="39" t="str">
        <x:f>"feat/"&amp;F30&amp;"/rca-completed-event"</x:f>
        <x:v>feat/rca-github-id/rca-completed-event</x:v>
      </x:c>
      <x:c r="Q30" s="40" t="str">
        <x:v>dashboard projection 영향 문서화</x:v>
      </x:c>
    </x:row>
    <x:row r="31" ht="36" customHeight="1">
      <x:c r="A31" s="38" t="str">
        <x:v>WBS-030</x:v>
      </x:c>
      <x:c r="B31" s="39" t="str">
        <x:v>RCA/Safe PR</x:v>
      </x:c>
      <x:c r="C31" s="39" t="str">
        <x:v>Safe PR proposal model</x:v>
      </x:c>
      <x:c r="D31" s="39" t="str">
        <x:v>RCA 결과를 branch name, commit message, PR title/body, diff reference로 구조화한다.</x:v>
      </x:c>
      <x:c r="E31" s="39" t="str">
        <x:v>RCA/Safe PR</x:v>
      </x:c>
      <x:c r="F31" s="39" t="str">
        <x:v>rca-github-id</x:v>
      </x:c>
      <x:c r="G31" s="50" t="n">
        <x:v>46206</x:v>
      </x:c>
      <x:c r="H31" s="50" t="n">
        <x:v>46208</x:v>
      </x:c>
      <x:c r="I31" s="53" t="n">
        <x:f>H31-G31+1</x:f>
        <x:v>3</x:v>
      </x:c>
      <x:c r="J31" s="39" t="str">
        <x:v>P0</x:v>
      </x:c>
      <x:c r="K31" s="39" t="str">
        <x:v>미시작</x:v>
      </x:c>
      <x:c r="L31" s="39" t="str">
        <x:v>WBS-029,WBS-012</x:v>
      </x:c>
      <x:c r="M31" s="39" t="str">
        <x:v>Safe PR proposal</x:v>
      </x:c>
      <x:c r="N31" s="39" t="str">
        <x:v>PR body에 evidence와 rollback 포함</x:v>
      </x:c>
      <x:c r="O31" s="39" t="str">
        <x:v>pytest proposal model</x:v>
      </x:c>
      <x:c r="P31" s="39" t="str">
        <x:f>"feat/"&amp;F31&amp;"/safe-pr-proposal-model"</x:f>
        <x:v>feat/rca-github-id/safe-pr-proposal-model</x:v>
      </x:c>
      <x:c r="Q31" s="40" t="str">
        <x:v>GitHub token reference 사용</x:v>
      </x:c>
    </x:row>
    <x:row r="32" ht="36" customHeight="1">
      <x:c r="A32" s="38" t="str">
        <x:v>WBS-031</x:v>
      </x:c>
      <x:c r="B32" s="39" t="str">
        <x:v>RCA/Safe PR</x:v>
      </x:c>
      <x:c r="C32" s="39" t="str">
        <x:v>GitHub branch/commit client</x:v>
      </x:c>
      <x:c r="D32" s="39" t="str">
        <x:v>Token Vault reference를 사용해 GitHub branch와 commit을 만드는 client를 구현한다.</x:v>
      </x:c>
      <x:c r="E32" s="39" t="str">
        <x:v>RCA/Safe PR</x:v>
      </x:c>
      <x:c r="F32" s="39" t="str">
        <x:v>rca-github-id</x:v>
      </x:c>
      <x:c r="G32" s="50" t="n">
        <x:v>46208</x:v>
      </x:c>
      <x:c r="H32" s="50" t="n">
        <x:v>46210</x:v>
      </x:c>
      <x:c r="I32" s="53" t="n">
        <x:f>H32-G32+1</x:f>
        <x:v>3</x:v>
      </x:c>
      <x:c r="J32" s="39" t="str">
        <x:v>P0</x:v>
      </x:c>
      <x:c r="K32" s="39" t="str">
        <x:v>미시작</x:v>
      </x:c>
      <x:c r="L32" s="39" t="str">
        <x:v>WBS-030</x:v>
      </x:c>
      <x:c r="M32" s="39" t="str">
        <x:v>GitHub write client</x:v>
      </x:c>
      <x:c r="N32" s="39" t="str">
        <x:v>feature flag ON에서 branch/commit 생성</x:v>
      </x:c>
      <x:c r="O32" s="39" t="str">
        <x:v>unit test with fake client</x:v>
      </x:c>
      <x:c r="P32" s="39" t="str">
        <x:f>"feat/"&amp;F32&amp;"/github-branch-commit-client"</x:f>
        <x:v>feat/rca-github-id/github-branch-commit-client</x:v>
      </x:c>
      <x:c r="Q32" s="40" t="str">
        <x:v>실제 token event payload 금지</x:v>
      </x:c>
    </x:row>
    <x:row r="33" ht="36" customHeight="1">
      <x:c r="A33" s="38" t="str">
        <x:v>WBS-032</x:v>
      </x:c>
      <x:c r="B33" s="39" t="str">
        <x:v>RCA/Safe PR</x:v>
      </x:c>
      <x:c r="C33" s="39" t="str">
        <x:v>GitHub PR 생성 client</x:v>
      </x:c>
      <x:c r="D33" s="39" t="str">
        <x:v>branch/commit 이후 Pull Request를 생성하고 safe_pr.created event를 발행한다.</x:v>
      </x:c>
      <x:c r="E33" s="39" t="str">
        <x:v>RCA/Safe PR</x:v>
      </x:c>
      <x:c r="F33" s="39" t="str">
        <x:v>rca-github-id</x:v>
      </x:c>
      <x:c r="G33" s="50" t="n">
        <x:v>46209</x:v>
      </x:c>
      <x:c r="H33" s="50" t="n">
        <x:v>46211</x:v>
      </x:c>
      <x:c r="I33" s="53" t="n">
        <x:f>H33-G33+1</x:f>
        <x:v>3</x:v>
      </x:c>
      <x:c r="J33" s="39" t="str">
        <x:v>P0</x:v>
      </x:c>
      <x:c r="K33" s="39" t="str">
        <x:v>미시작</x:v>
      </x:c>
      <x:c r="L33" s="39" t="str">
        <x:v>WBS-031</x:v>
      </x:c>
      <x:c r="M33" s="39" t="str">
        <x:v>PR 생성 client</x:v>
      </x:c>
      <x:c r="N33" s="39" t="str">
        <x:v>GitHub PR URL 저장</x:v>
      </x:c>
      <x:c r="O33" s="39" t="str">
        <x:v>integration rehearsal</x:v>
      </x:c>
      <x:c r="P33" s="39" t="str">
        <x:f>"feat/"&amp;F33&amp;"/github-pr-client"</x:f>
        <x:v>feat/rca-github-id/github-pr-client</x:v>
      </x:c>
      <x:c r="Q33" s="40" t="str">
        <x:v>실제 write 전 feature flag 확인</x:v>
      </x:c>
    </x:row>
    <x:row r="34" ht="36" customHeight="1">
      <x:c r="A34" s="38" t="str">
        <x:v>WBS-033</x:v>
      </x:c>
      <x:c r="B34" s="39" t="str">
        <x:v>RCA/Safe PR</x:v>
      </x:c>
      <x:c r="C34" s="39" t="str">
        <x:v>audit timeline 상세화</x:v>
      </x:c>
      <x:c r="D34" s="39" t="str">
        <x:v>command, evidence, RCA, PR 생성 이벤트를 correlation_id로 묶어 audit timeline에 남긴다.</x:v>
      </x:c>
      <x:c r="E34" s="39" t="str">
        <x:v>RCA/Safe PR</x:v>
      </x:c>
      <x:c r="F34" s="39" t="str">
        <x:v>rca-github-id</x:v>
      </x:c>
      <x:c r="G34" s="50" t="n">
        <x:v>46211</x:v>
      </x:c>
      <x:c r="H34" s="50" t="n">
        <x:v>46215</x:v>
      </x:c>
      <x:c r="I34" s="53" t="n">
        <x:f>H34-G34+1</x:f>
        <x:v>5</x:v>
      </x:c>
      <x:c r="J34" s="39" t="str">
        <x:v>P1</x:v>
      </x:c>
      <x:c r="K34" s="39" t="str">
        <x:v>미시작</x:v>
      </x:c>
      <x:c r="L34" s="39" t="str">
        <x:v>WBS-029,WBS-032</x:v>
      </x:c>
      <x:c r="M34" s="39" t="str">
        <x:v>audit timeline</x:v>
      </x:c>
      <x:c r="N34" s="39" t="str">
        <x:v>한 장애 흐름을 순서대로 추적 가능</x:v>
      </x:c>
      <x:c r="O34" s="39" t="str">
        <x:v>pytest audit timeline</x:v>
      </x:c>
      <x:c r="P34" s="39" t="str">
        <x:f>"feat/"&amp;F34&amp;"/audit-timeline-correlation"</x:f>
        <x:v>feat/rca-github-id/audit-timeline-correlation</x:v>
      </x:c>
      <x:c r="Q34" s="40" t="str">
        <x:v>Dashboard projection과 공통 계약</x:v>
      </x:c>
    </x:row>
    <x:row r="35" ht="36" customHeight="1">
      <x:c r="A35" s="38" t="str">
        <x:v>WBS-034</x:v>
      </x:c>
      <x:c r="B35" s="39" t="str">
        <x:v>RCA/Safe PR</x:v>
      </x:c>
      <x:c r="C35" s="39" t="str">
        <x:v>RCA evidence 품질 점검</x:v>
      </x:c>
      <x:c r="D35" s="39" t="str">
        <x:v>Prometheus/Loki adapter 결과가 들어온 후 RCA 품질 기준을 점검한다.</x:v>
      </x:c>
      <x:c r="E35" s="39" t="str">
        <x:v>RCA/Safe PR</x:v>
      </x:c>
      <x:c r="F35" s="39" t="str">
        <x:v>rca-github-id</x:v>
      </x:c>
      <x:c r="G35" s="50" t="n">
        <x:v>46215</x:v>
      </x:c>
      <x:c r="H35" s="50" t="n">
        <x:v>46218</x:v>
      </x:c>
      <x:c r="I35" s="53" t="n">
        <x:f>H35-G35+1</x:f>
        <x:v>4</x:v>
      </x:c>
      <x:c r="J35" s="39" t="str">
        <x:v>P0</x:v>
      </x:c>
      <x:c r="K35" s="39" t="str">
        <x:v>미시작</x:v>
      </x:c>
      <x:c r="L35" s="39" t="str">
        <x:v>WBS-033,WBS-044,WBS-045</x:v>
      </x:c>
      <x:c r="M35" s="39" t="str">
        <x:v>RCA quality checklist</x:v>
      </x:c>
      <x:c r="N35" s="39" t="str">
        <x:v>log/metric/source ref가 RCA에 포함</x:v>
      </x:c>
      <x:c r="O35" s="39" t="str">
        <x:v>telemetry demo rehearsal</x:v>
      </x:c>
      <x:c r="P35" s="39" t="str">
        <x:f>"feat/"&amp;F35&amp;"/rca-quality-check"</x:f>
        <x:v>feat/rca-github-id/rca-quality-check</x:v>
      </x:c>
      <x:c r="Q35" s="40" t="str">
        <x:v>Target/Telemetry 입력 품질 의존</x:v>
      </x:c>
    </x:row>
    <x:row r="36" ht="36" customHeight="1">
      <x:c r="A36" s="38" t="str">
        <x:v>WBS-035</x:v>
      </x:c>
      <x:c r="B36" s="39" t="str">
        <x:v>RCA/Safe PR</x:v>
      </x:c>
      <x:c r="C36" s="39" t="str">
        <x:v>최종 PR 제안 문구 고도화</x:v>
      </x:c>
      <x:c r="D36" s="39" t="str">
        <x:v>PR title/body에 원인, 근거, 변경 내용, 검증 방법, rollback을 포함한다.</x:v>
      </x:c>
      <x:c r="E36" s="39" t="str">
        <x:v>RCA/Safe PR</x:v>
      </x:c>
      <x:c r="F36" s="39" t="str">
        <x:v>rca-github-id</x:v>
      </x:c>
      <x:c r="G36" s="50" t="n">
        <x:v>46219</x:v>
      </x:c>
      <x:c r="H36" s="50" t="n">
        <x:v>46223</x:v>
      </x:c>
      <x:c r="I36" s="53" t="n">
        <x:f>H36-G36+1</x:f>
        <x:v>5</x:v>
      </x:c>
      <x:c r="J36" s="39" t="str">
        <x:v>P1</x:v>
      </x:c>
      <x:c r="K36" s="39" t="str">
        <x:v>미시작</x:v>
      </x:c>
      <x:c r="L36" s="39" t="str">
        <x:v>WBS-032,WBS-034</x:v>
      </x:c>
      <x:c r="M36" s="39" t="str">
        <x:v>PR body template</x:v>
      </x:c>
      <x:c r="N36" s="39" t="str">
        <x:v>멘토가 읽어도 맥락이 드러남</x:v>
      </x:c>
      <x:c r="O36" s="39" t="str">
        <x:v>snapshot review</x:v>
      </x:c>
      <x:c r="P36" s="39" t="str">
        <x:f>"feat/"&amp;F36&amp;"/safe-pr-template-polish"</x:f>
        <x:v>feat/rca-github-id/safe-pr-template-polish</x:v>
      </x:c>
      <x:c r="Q36" s="40" t="str">
        <x:v>과도한 LLM 문장 지양</x:v>
      </x:c>
    </x:row>
    <x:row r="37" ht="36" customHeight="1">
      <x:c r="A37" s="38" t="str">
        <x:v>WBS-036</x:v>
      </x:c>
      <x:c r="B37" s="39" t="str">
        <x:v>RCA/Safe PR</x:v>
      </x:c>
      <x:c r="C37" s="39" t="str">
        <x:v>최종 end-to-end RCA flow 고정</x:v>
      </x:c>
      <x:c r="D37" s="39" t="str">
        <x:v>장애 주입부터 RCA와 Safe PR까지 최종 시나리오를 고정한다.</x:v>
      </x:c>
      <x:c r="E37" s="39" t="str">
        <x:v>RCA/Safe PR</x:v>
      </x:c>
      <x:c r="F37" s="39" t="str">
        <x:v>rca-github-id</x:v>
      </x:c>
      <x:c r="G37" s="50" t="n">
        <x:v>46226</x:v>
      </x:c>
      <x:c r="H37" s="50" t="n">
        <x:v>46229</x:v>
      </x:c>
      <x:c r="I37" s="53" t="n">
        <x:f>H37-G37+1</x:f>
        <x:v>4</x:v>
      </x:c>
      <x:c r="J37" s="39" t="str">
        <x:v>P0</x:v>
      </x:c>
      <x:c r="K37" s="39" t="str">
        <x:v>미시작</x:v>
      </x:c>
      <x:c r="L37" s="39" t="str">
        <x:v>WBS-035,WBS-052</x:v>
      </x:c>
      <x:c r="M37" s="39" t="str">
        <x:v>E2E RCA scenario</x:v>
      </x:c>
      <x:c r="N37" s="39" t="str">
        <x:v>최종 데모에서 1회 성공</x:v>
      </x:c>
      <x:c r="O37" s="39" t="str">
        <x:v>e2e rehearsal</x:v>
      </x:c>
      <x:c r="P37" s="39" t="str">
        <x:f>"feat/"&amp;F37&amp;"/final-rca-e2e"</x:f>
        <x:v>feat/rca-github-id/final-rca-e2e</x:v>
      </x:c>
      <x:c r="Q37" s="40" t="str">
        <x:v>fallback 시나리오 포함</x:v>
      </x:c>
    </x:row>
    <x:row r="38" ht="36" customHeight="1">
      <x:c r="A38" s="38" t="str">
        <x:v>WBS-037</x:v>
      </x:c>
      <x:c r="B38" s="39" t="str">
        <x:v>Target/Telemetry</x:v>
      </x:c>
      <x:c r="C38" s="39" t="str">
        <x:v>Target Agent connection 설정</x:v>
      </x:c>
      <x:c r="D38" s="39" t="str">
        <x:v>Target Agent가 Management Gateway로 outbound 연결하는 설정과 retry 정책을 정리한다.</x:v>
      </x:c>
      <x:c r="E38" s="39" t="str">
        <x:v>Target/Telemetry</x:v>
      </x:c>
      <x:c r="F38" s="39" t="str">
        <x:v>target-github-id</x:v>
      </x:c>
      <x:c r="G38" s="50" t="n">
        <x:v>46200</x:v>
      </x:c>
      <x:c r="H38" s="50" t="n">
        <x:v>46201</x:v>
      </x:c>
      <x:c r="I38" s="53" t="n">
        <x:f>H38-G38+1</x:f>
        <x:v>2</x:v>
      </x:c>
      <x:c r="J38" s="39" t="str">
        <x:v>P0</x:v>
      </x:c>
      <x:c r="K38" s="39" t="str">
        <x:v>미시작</x:v>
      </x:c>
      <x:c r="L38" s="39" t="str">
        <x:v>WBS-001</x:v>
      </x:c>
      <x:c r="M38" s="39" t="str">
        <x:v>agent connection config</x:v>
      </x:c>
      <x:c r="N38" s="39" t="str">
        <x:v>관리 서버 장애 시 retry 동작 확인</x:v>
      </x:c>
      <x:c r="O38" s="39" t="str">
        <x:v>pytest/httpx fake</x:v>
      </x:c>
      <x:c r="P38" s="39" t="str">
        <x:f>"feat/"&amp;F38&amp;"/target-agent-connection"</x:f>
        <x:v>feat/target-github-id/target-agent-connection</x:v>
      </x:c>
      <x:c r="Q38" s="40" t="str">
        <x:v>NATS 직접 연결 금지</x:v>
      </x:c>
    </x:row>
    <x:row r="39" ht="36" customHeight="1">
      <x:c r="A39" s="38" t="str">
        <x:v>WBS-038</x:v>
      </x:c>
      <x:c r="B39" s="39" t="str">
        <x:v>Target/Telemetry</x:v>
      </x:c>
      <x:c r="C39" s="39" t="str">
        <x:v>ServiceAccount/RBAC 최소 권한 점검</x:v>
      </x:c>
      <x:c r="D39" s="39" t="str">
        <x:v>read cluster objects, write sandbox namespace만 허용되도록 manifest를 점검한다.</x:v>
      </x:c>
      <x:c r="E39" s="39" t="str">
        <x:v>Target/Telemetry</x:v>
      </x:c>
      <x:c r="F39" s="39" t="str">
        <x:v>target-github-id</x:v>
      </x:c>
      <x:c r="G39" s="50" t="n">
        <x:v>46200</x:v>
      </x:c>
      <x:c r="H39" s="50" t="n">
        <x:v>46201</x:v>
      </x:c>
      <x:c r="I39" s="53" t="n">
        <x:f>H39-G39+1</x:f>
        <x:v>2</x:v>
      </x:c>
      <x:c r="J39" s="39" t="str">
        <x:v>P0</x:v>
      </x:c>
      <x:c r="K39" s="39" t="str">
        <x:v>미시작</x:v>
      </x:c>
      <x:c r="L39" s="39" t="str">
        <x:v>WBS-001</x:v>
      </x:c>
      <x:c r="M39" s="39" t="str">
        <x:v>RBAC manifest</x:v>
      </x:c>
      <x:c r="N39" s="39" t="str">
        <x:v>production namespace write 불가</x:v>
      </x:c>
      <x:c r="O39" s="39" t="str">
        <x:v>kubectl auth can-i</x:v>
      </x:c>
      <x:c r="P39" s="39" t="str">
        <x:f>"feat/"&amp;F39&amp;"/target-rbac-least-privilege"</x:f>
        <x:v>feat/target-github-id/target-rbac-least-privilege</x:v>
      </x:c>
      <x:c r="Q39" s="40" t="str">
        <x:v>권한 변경은 PR에 설명 필수</x:v>
      </x:c>
    </x:row>
    <x:row r="40" ht="36" customHeight="1">
      <x:c r="A40" s="38" t="str">
        <x:v>WBS-039</x:v>
      </x:c>
      <x:c r="B40" s="39" t="str">
        <x:v>Target/Telemetry</x:v>
      </x:c>
      <x:c r="C40" s="39" t="str">
        <x:v>Optional Node Collector metrics 고정</x:v>
      </x:c>
      <x:c r="D40" s="39" t="str">
        <x:v>DaemonSet collector의 /metrics 출력과 stdout log sample을 고정한다.</x:v>
      </x:c>
      <x:c r="E40" s="39" t="str">
        <x:v>Target/Telemetry</x:v>
      </x:c>
      <x:c r="F40" s="39" t="str">
        <x:v>target-github-id</x:v>
      </x:c>
      <x:c r="G40" s="50" t="n">
        <x:v>46201</x:v>
      </x:c>
      <x:c r="H40" s="50" t="n">
        <x:v>46203</x:v>
      </x:c>
      <x:c r="I40" s="53" t="n">
        <x:f>H40-G40+1</x:f>
        <x:v>3</x:v>
      </x:c>
      <x:c r="J40" s="39" t="str">
        <x:v>P0</x:v>
      </x:c>
      <x:c r="K40" s="39" t="str">
        <x:v>미시작</x:v>
      </x:c>
      <x:c r="L40" s="39" t="str">
        <x:v>WBS-037</x:v>
      </x:c>
      <x:c r="M40" s="39" t="str">
        <x:v>node collector metrics</x:v>
      </x:c>
      <x:c r="N40" s="39" t="str">
        <x:v>/metrics와 log sample 확인</x:v>
      </x:c>
      <x:c r="O40" s="39" t="str">
        <x:v>kubectl port-forward, curl</x:v>
      </x:c>
      <x:c r="P40" s="39" t="str">
        <x:f>"feat/"&amp;F40&amp;"/node-collector-metrics"</x:f>
        <x:v>feat/target-github-id/node-collector-metrics</x:v>
      </x:c>
      <x:c r="Q40" s="40" t="str">
        <x:v>secret 출력 금지</x:v>
      </x:c>
    </x:row>
    <x:row r="41" ht="36" customHeight="1">
      <x:c r="A41" s="38" t="str">
        <x:v>WBS-040</x:v>
      </x:c>
      <x:c r="B41" s="39" t="str">
        <x:v>Target/Telemetry</x:v>
      </x:c>
      <x:c r="C41" s="39" t="str">
        <x:v>Kubernetes object collector 정교화</x:v>
      </x:c>
      <x:c r="D41" s="39" t="str">
        <x:v>pod/event/deploy/node snapshot을 evidence payload로 정리한다.</x:v>
      </x:c>
      <x:c r="E41" s="39" t="str">
        <x:v>Target/Telemetry</x:v>
      </x:c>
      <x:c r="F41" s="39" t="str">
        <x:v>target-github-id</x:v>
      </x:c>
      <x:c r="G41" s="50" t="n">
        <x:v>46203</x:v>
      </x:c>
      <x:c r="H41" s="50" t="n">
        <x:v>46206</x:v>
      </x:c>
      <x:c r="I41" s="53" t="n">
        <x:f>H41-G41+1</x:f>
        <x:v>4</x:v>
      </x:c>
      <x:c r="J41" s="39" t="str">
        <x:v>P0</x:v>
      </x:c>
      <x:c r="K41" s="39" t="str">
        <x:v>미시작</x:v>
      </x:c>
      <x:c r="L41" s="39" t="str">
        <x:v>WBS-038</x:v>
      </x:c>
      <x:c r="M41" s="39" t="str">
        <x:v>K8s snapshot adapter</x:v>
      </x:c>
      <x:c r="N41" s="39" t="str">
        <x:v>pod/event/deploy/node가 evidence에 포함</x:v>
      </x:c>
      <x:c r="O41" s="39" t="str">
        <x:v>pytest adapter</x:v>
      </x:c>
      <x:c r="P41" s="39" t="str">
        <x:f>"feat/"&amp;F41&amp;"/k8s-object-collector"</x:f>
        <x:v>feat/target-github-id/k8s-object-collector</x:v>
      </x:c>
      <x:c r="Q41" s="40" t="str">
        <x:v>API rate limit 고려</x:v>
      </x:c>
    </x:row>
    <x:row r="42" ht="36" customHeight="1">
      <x:c r="A42" s="38" t="str">
        <x:v>WBS-041</x:v>
      </x:c>
      <x:c r="B42" s="39" t="str">
        <x:v>Target/Telemetry</x:v>
      </x:c>
      <x:c r="C42" s="39" t="str">
        <x:v>Command Receiver sandbox apply</x:v>
      </x:c>
      <x:c r="D42" s="39" t="str">
        <x:v>Target Agent가 command를 받아 sandbox namespace에서만 apply/status를 수행한다.</x:v>
      </x:c>
      <x:c r="E42" s="39" t="str">
        <x:v>Target/Telemetry</x:v>
      </x:c>
      <x:c r="F42" s="39" t="str">
        <x:v>target-github-id</x:v>
      </x:c>
      <x:c r="G42" s="50" t="n">
        <x:v>46206</x:v>
      </x:c>
      <x:c r="H42" s="50" t="n">
        <x:v>46209</x:v>
      </x:c>
      <x:c r="I42" s="53" t="n">
        <x:f>H42-G42+1</x:f>
        <x:v>4</x:v>
      </x:c>
      <x:c r="J42" s="39" t="str">
        <x:v>P0</x:v>
      </x:c>
      <x:c r="K42" s="39" t="str">
        <x:v>미시작</x:v>
      </x:c>
      <x:c r="L42" s="39" t="str">
        <x:v>WBS-024,WBS-038</x:v>
      </x:c>
      <x:c r="M42" s="39" t="str">
        <x:v>command receiver</x:v>
      </x:c>
      <x:c r="N42" s="39" t="str">
        <x:v>sandbox 외 command 거부</x:v>
      </x:c>
      <x:c r="O42" s="39" t="str">
        <x:v>kind target test</x:v>
      </x:c>
      <x:c r="P42" s="39" t="str">
        <x:f>"feat/"&amp;F42&amp;"/command-receiver-sandbox"</x:f>
        <x:v>feat/target-github-id/command-receiver-sandbox</x:v>
      </x:c>
      <x:c r="Q42" s="40" t="str">
        <x:v>실패도 command.completed로 보고</x:v>
      </x:c>
    </x:row>
    <x:row r="43" ht="36" customHeight="1">
      <x:c r="A43" s="38" t="str">
        <x:v>WBS-042</x:v>
      </x:c>
      <x:c r="B43" s="39" t="str">
        <x:v>Target/Telemetry</x:v>
      </x:c>
      <x:c r="C43" s="39" t="str">
        <x:v>fake telemetry fallback 유지</x:v>
      </x:c>
      <x:c r="D43" s="39" t="str">
        <x:v>Prometheus/Loki/OTel이 없을 때 fake endpoint로 smoke가 통과하게 유지한다.</x:v>
      </x:c>
      <x:c r="E43" s="39" t="str">
        <x:v>Target/Telemetry</x:v>
      </x:c>
      <x:c r="F43" s="39" t="str">
        <x:v>target-github-id</x:v>
      </x:c>
      <x:c r="G43" s="50" t="n">
        <x:v>46207</x:v>
      </x:c>
      <x:c r="H43" s="50" t="n">
        <x:v>46210</x:v>
      </x:c>
      <x:c r="I43" s="53" t="n">
        <x:f>H43-G43+1</x:f>
        <x:v>4</x:v>
      </x:c>
      <x:c r="J43" s="39" t="str">
        <x:v>P1</x:v>
      </x:c>
      <x:c r="K43" s="39" t="str">
        <x:v>미시작</x:v>
      </x:c>
      <x:c r="L43" s="39" t="str">
        <x:v>WBS-039</x:v>
      </x:c>
      <x:c r="M43" s="39" t="str">
        <x:v>fake telemetry fallback</x:v>
      </x:c>
      <x:c r="N43" s="39" t="str">
        <x:v>make smoke가 외부 telemetry 없이 통과</x:v>
      </x:c>
      <x:c r="O43" s="39" t="str">
        <x:v>make smoke</x:v>
      </x:c>
      <x:c r="P43" s="39" t="str">
        <x:f>"feat/"&amp;F43&amp;"/fake-telemetry-fallback"</x:f>
        <x:v>feat/target-github-id/fake-telemetry-fallback</x:v>
      </x:c>
      <x:c r="Q43" s="40" t="str">
        <x:v>실제 adapter와 같은 schema 사용</x:v>
      </x:c>
    </x:row>
    <x:row r="44" ht="36" customHeight="1">
      <x:c r="A44" s="38" t="str">
        <x:v>WBS-043</x:v>
      </x:c>
      <x:c r="B44" s="39" t="str">
        <x:v>Target/Telemetry</x:v>
      </x:c>
      <x:c r="C44" s="39" t="str">
        <x:v>Prometheus endpoint discovery</x:v>
      </x:c>
      <x:c r="D44" s="39" t="str">
        <x:v>타깃 클러스터에 있는 Prometheus endpoint 연결 방식을 설정한다.</x:v>
      </x:c>
      <x:c r="E44" s="39" t="str">
        <x:v>Target/Telemetry</x:v>
      </x:c>
      <x:c r="F44" s="39" t="str">
        <x:v>target-github-id</x:v>
      </x:c>
      <x:c r="G44" s="50" t="n">
        <x:v>46211</x:v>
      </x:c>
      <x:c r="H44" s="50" t="n">
        <x:v>46212</x:v>
      </x:c>
      <x:c r="I44" s="53" t="n">
        <x:f>H44-G44+1</x:f>
        <x:v>2</x:v>
      </x:c>
      <x:c r="J44" s="39" t="str">
        <x:v>P0</x:v>
      </x:c>
      <x:c r="K44" s="39" t="str">
        <x:v>미시작</x:v>
      </x:c>
      <x:c r="L44" s="39" t="str">
        <x:v>WBS-037</x:v>
      </x:c>
      <x:c r="M44" s="39" t="str">
        <x:v>Prometheus connection config</x:v>
      </x:c>
      <x:c r="N44" s="39" t="str">
        <x:v>adapter가 endpoint health 확인</x:v>
      </x:c>
      <x:c r="O44" s="39" t="str">
        <x:v>manual endpoint test</x:v>
      </x:c>
      <x:c r="P44" s="39" t="str">
        <x:f>"feat/"&amp;F44&amp;"/prometheus-endpoint-discovery"</x:f>
        <x:v>feat/target-github-id/prometheus-endpoint-discovery</x:v>
      </x:c>
      <x:c r="Q44" s="40" t="str">
        <x:v>없는 경우 fake fallback</x:v>
      </x:c>
    </x:row>
    <x:row r="45" ht="36" customHeight="1">
      <x:c r="A45" s="38" t="str">
        <x:v>WBS-044</x:v>
      </x:c>
      <x:c r="B45" s="39" t="str">
        <x:v>Target/Telemetry</x:v>
      </x:c>
      <x:c r="C45" s="39" t="str">
        <x:v>Prometheus real query adapter</x:v>
      </x:c>
      <x:c r="D45" s="39" t="str">
        <x:v>PromQL query 결과를 metric evidence sample로 변환한다.</x:v>
      </x:c>
      <x:c r="E45" s="39" t="str">
        <x:v>Target/Telemetry</x:v>
      </x:c>
      <x:c r="F45" s="39" t="str">
        <x:v>target-github-id</x:v>
      </x:c>
      <x:c r="G45" s="50" t="n">
        <x:v>46212</x:v>
      </x:c>
      <x:c r="H45" s="50" t="n">
        <x:v>46214</x:v>
      </x:c>
      <x:c r="I45" s="53" t="n">
        <x:f>H45-G45+1</x:f>
        <x:v>3</x:v>
      </x:c>
      <x:c r="J45" s="39" t="str">
        <x:v>P0</x:v>
      </x:c>
      <x:c r="K45" s="39" t="str">
        <x:v>미시작</x:v>
      </x:c>
      <x:c r="L45" s="39" t="str">
        <x:v>WBS-043</x:v>
      </x:c>
      <x:c r="M45" s="39" t="str">
        <x:v>Prometheus adapter</x:v>
      </x:c>
      <x:c r="N45" s="39" t="str">
        <x:v>metric query 결과가 evidence에 포함</x:v>
      </x:c>
      <x:c r="O45" s="39" t="str">
        <x:v>pytest adapter, demo query</x:v>
      </x:c>
      <x:c r="P45" s="39" t="str">
        <x:f>"feat/"&amp;F45&amp;"/prometheus-real-adapter"</x:f>
        <x:v>feat/target-github-id/prometheus-real-adapter</x:v>
      </x:c>
      <x:c r="Q45" s="40" t="str">
        <x:v>query timeout 필요</x:v>
      </x:c>
    </x:row>
    <x:row r="46" ht="36" customHeight="1">
      <x:c r="A46" s="38" t="str">
        <x:v>WBS-045</x:v>
      </x:c>
      <x:c r="B46" s="39" t="str">
        <x:v>Target/Telemetry</x:v>
      </x:c>
      <x:c r="C46" s="39" t="str">
        <x:v>Loki real query adapter</x:v>
      </x:c>
      <x:c r="D46" s="39" t="str">
        <x:v>Loki query 결과를 log snippet evidence로 변환한다.</x:v>
      </x:c>
      <x:c r="E46" s="39" t="str">
        <x:v>Target/Telemetry</x:v>
      </x:c>
      <x:c r="F46" s="39" t="str">
        <x:v>target-github-id</x:v>
      </x:c>
      <x:c r="G46" s="50" t="n">
        <x:v>46213</x:v>
      </x:c>
      <x:c r="H46" s="50" t="n">
        <x:v>46216</x:v>
      </x:c>
      <x:c r="I46" s="53" t="n">
        <x:f>H46-G46+1</x:f>
        <x:v>4</x:v>
      </x:c>
      <x:c r="J46" s="39" t="str">
        <x:v>P0</x:v>
      </x:c>
      <x:c r="K46" s="39" t="str">
        <x:v>미시작</x:v>
      </x:c>
      <x:c r="L46" s="39" t="str">
        <x:v>WBS-043</x:v>
      </x:c>
      <x:c r="M46" s="39" t="str">
        <x:v>Loki adapter</x:v>
      </x:c>
      <x:c r="N46" s="39" t="str">
        <x:v>log snippet이 evidence에 포함</x:v>
      </x:c>
      <x:c r="O46" s="39" t="str">
        <x:v>pytest adapter, demo query</x:v>
      </x:c>
      <x:c r="P46" s="39" t="str">
        <x:f>"feat/"&amp;F46&amp;"/loki-real-adapter"</x:f>
        <x:v>feat/target-github-id/loki-real-adapter</x:v>
      </x:c>
      <x:c r="Q46" s="40" t="str">
        <x:v>개인정보/secret log 필터링</x:v>
      </x:c>
    </x:row>
    <x:row r="47" ht="36" customHeight="1">
      <x:c r="A47" s="38" t="str">
        <x:v>WBS-046</x:v>
      </x:c>
      <x:c r="B47" s="39" t="str">
        <x:v>Target/Telemetry</x:v>
      </x:c>
      <x:c r="C47" s="39" t="str">
        <x:v>OTel optional trace adapter</x:v>
      </x:c>
      <x:c r="D47" s="39" t="str">
        <x:v>OTel Collector가 있는 경우 trace reference를 evidence에 추가한다.</x:v>
      </x:c>
      <x:c r="E47" s="39" t="str">
        <x:v>Target/Telemetry</x:v>
      </x:c>
      <x:c r="F47" s="39" t="str">
        <x:v>target-github-id</x:v>
      </x:c>
      <x:c r="G47" s="50" t="n">
        <x:v>46215</x:v>
      </x:c>
      <x:c r="H47" s="50" t="n">
        <x:v>46217</x:v>
      </x:c>
      <x:c r="I47" s="53" t="n">
        <x:f>H47-G47+1</x:f>
        <x:v>3</x:v>
      </x:c>
      <x:c r="J47" s="39" t="str">
        <x:v>P2</x:v>
      </x:c>
      <x:c r="K47" s="39" t="str">
        <x:v>미시작</x:v>
      </x:c>
      <x:c r="L47" s="39" t="str">
        <x:v>WBS-044,WBS-045</x:v>
      </x:c>
      <x:c r="M47" s="39" t="str">
        <x:v>OTel optional adapter</x:v>
      </x:c>
      <x:c r="N47" s="39" t="str">
        <x:v>trace ref가 있으면 evidence에 포함</x:v>
      </x:c>
      <x:c r="O47" s="39" t="str">
        <x:v>pytest optional path</x:v>
      </x:c>
      <x:c r="P47" s="39" t="str">
        <x:f>"feat/"&amp;F47&amp;"/otel-optional-adapter"</x:f>
        <x:v>feat/target-github-id/otel-optional-adapter</x:v>
      </x:c>
      <x:c r="Q47" s="40" t="str">
        <x:v>없어도 demo 실패하지 않음</x:v>
      </x:c>
    </x:row>
    <x:row r="48" ht="36" customHeight="1">
      <x:c r="A48" s="38" t="str">
        <x:v>WBS-047</x:v>
      </x:c>
      <x:c r="B48" s="39" t="str">
        <x:v>Target/Telemetry</x:v>
      </x:c>
      <x:c r="C48" s="39" t="str">
        <x:v>Telemetry evidence pack 전송</x:v>
      </x:c>
      <x:c r="D48" s="39" t="str">
        <x:v>K8s/log/metric/trace evidence를 /agent/evidence로 주기 전송한다.</x:v>
      </x:c>
      <x:c r="E48" s="39" t="str">
        <x:v>Target/Telemetry</x:v>
      </x:c>
      <x:c r="F48" s="39" t="str">
        <x:v>target-github-id</x:v>
      </x:c>
      <x:c r="G48" s="50" t="n">
        <x:v>46216</x:v>
      </x:c>
      <x:c r="H48" s="50" t="n">
        <x:v>46218</x:v>
      </x:c>
      <x:c r="I48" s="53" t="n">
        <x:f>H48-G48+1</x:f>
        <x:v>3</x:v>
      </x:c>
      <x:c r="J48" s="39" t="str">
        <x:v>P0</x:v>
      </x:c>
      <x:c r="K48" s="39" t="str">
        <x:v>미시작</x:v>
      </x:c>
      <x:c r="L48" s="39" t="str">
        <x:v>WBS-044,WBS-045,WBS-016</x:v>
      </x:c>
      <x:c r="M48" s="39" t="str">
        <x:v>evidence pack transmission</x:v>
      </x:c>
      <x:c r="N48" s="39" t="str">
        <x:v>management가 cluster.evidence.received 발행</x:v>
      </x:c>
      <x:c r="O48" s="39" t="str">
        <x:v>make smoke, curl query</x:v>
      </x:c>
      <x:c r="P48" s="39" t="str">
        <x:f>"feat/"&amp;F48&amp;"/telemetry-evidence-pack"</x:f>
        <x:v>feat/target-github-id/telemetry-evidence-pack</x:v>
      </x:c>
      <x:c r="Q48" s="40" t="str">
        <x:v>payload 크기 제한 필요</x:v>
      </x:c>
    </x:row>
    <x:row r="49" ht="36" customHeight="1">
      <x:c r="A49" s="38" t="str">
        <x:v>WBS-048</x:v>
      </x:c>
      <x:c r="B49" s="39" t="str">
        <x:v>Target/Telemetry</x:v>
      </x:c>
      <x:c r="C49" s="39" t="str">
        <x:v>7월 15일 telemetry 데모 리허설</x:v>
      </x:c>
      <x:c r="D49" s="39" t="str">
        <x:v>실제 adapter 또는 fake fallback으로 evidence 기반 RCA를 시연한다.</x:v>
      </x:c>
      <x:c r="E49" s="39" t="str">
        <x:v>Target/Telemetry</x:v>
      </x:c>
      <x:c r="F49" s="39" t="str">
        <x:v>target-github-id</x:v>
      </x:c>
      <x:c r="G49" s="50" t="n">
        <x:v>46217</x:v>
      </x:c>
      <x:c r="H49" s="50" t="n">
        <x:v>46218</x:v>
      </x:c>
      <x:c r="I49" s="53" t="n">
        <x:f>H49-G49+1</x:f>
        <x:v>2</x:v>
      </x:c>
      <x:c r="J49" s="39" t="str">
        <x:v>P0</x:v>
      </x:c>
      <x:c r="K49" s="39" t="str">
        <x:v>미시작</x:v>
      </x:c>
      <x:c r="L49" s="39" t="str">
        <x:v>WBS-047,WBS-034</x:v>
      </x:c>
      <x:c r="M49" s="39" t="str">
        <x:v>telemetry demo proof</x:v>
      </x:c>
      <x:c r="N49" s="39" t="str">
        <x:v>metric/log 기반 RCA가 출력됨</x:v>
      </x:c>
      <x:c r="O49" s="39" t="str">
        <x:v>demo rehearsal</x:v>
      </x:c>
      <x:c r="P49" s="39" t="str">
        <x:f>"feat/"&amp;F49&amp;"/week3-telemetry-rehearsal"</x:f>
        <x:v>feat/target-github-id/week3-telemetry-rehearsal</x:v>
      </x:c>
      <x:c r="Q49" s="40" t="str">
        <x:v>환경 차이에 대비해 fallback 준비</x:v>
      </x:c>
    </x:row>
    <x:row r="50" ht="36" customHeight="1">
      <x:c r="A50" s="38" t="str">
        <x:v>WBS-049</x:v>
      </x:c>
      <x:c r="B50" s="39" t="str">
        <x:v>공통 Read Model</x:v>
      </x:c>
      <x:c r="C50" s="39" t="str">
        <x:v>dashboard projection event 목록 확정</x:v>
      </x:c>
      <x:c r="D50" s="39" t="str">
        <x:v>대시보드 UI는 제외하되 read model에 필요한 event 목록을 확정한다.</x:v>
      </x:c>
      <x:c r="E50" s="39" t="str">
        <x:v>Platform/Integration</x:v>
      </x:c>
      <x:c r="F50" s="39" t="str">
        <x:v>platform-github-id</x:v>
      </x:c>
      <x:c r="G50" s="50" t="n">
        <x:v>46218</x:v>
      </x:c>
      <x:c r="H50" s="50" t="n">
        <x:v>46219</x:v>
      </x:c>
      <x:c r="I50" s="53" t="n">
        <x:f>H50-G50+1</x:f>
        <x:v>2</x:v>
      </x:c>
      <x:c r="J50" s="39" t="str">
        <x:v>P1</x:v>
      </x:c>
      <x:c r="K50" s="39" t="str">
        <x:v>미시작</x:v>
      </x:c>
      <x:c r="L50" s="39" t="str">
        <x:v>WBS-025,WBS-033,WBS-047</x:v>
      </x:c>
      <x:c r="M50" s="39" t="str">
        <x:v>dashboard projection contract</x:v>
      </x:c>
      <x:c r="N50" s="39" t="str">
        <x:v>dashboard.updated 기준이 명확함</x:v>
      </x:c>
      <x:c r="O50" s="39" t="str">
        <x:v>docs/events.md review</x:v>
      </x:c>
      <x:c r="P50" s="39" t="str">
        <x:f>"feat/"&amp;F50&amp;"/dashboard-projection-contract"</x:f>
        <x:v>feat/platform-github-id/dashboard-projection-contract</x:v>
      </x:c>
      <x:c r="Q50" s="40" t="str">
        <x:v>UI 담당 생기기 전 공통 관리</x:v>
      </x:c>
    </x:row>
    <x:row r="51" ht="36" customHeight="1">
      <x:c r="A51" s="38" t="str">
        <x:v>WBS-050</x:v>
      </x:c>
      <x:c r="B51" s="39" t="str">
        <x:v>공통 Read Model</x:v>
      </x:c>
      <x:c r="C51" s="39" t="str">
        <x:v>dashboard query API 정리</x:v>
      </x:c>
      <x:c r="D51" s="39" t="str">
        <x:v>운영 화면이 붙을 때 사용할 query API response를 정리한다.</x:v>
      </x:c>
      <x:c r="E51" s="39" t="str">
        <x:v>Gateway/Auth</x:v>
      </x:c>
      <x:c r="F51" s="39" t="str">
        <x:v>gateway-github-id</x:v>
      </x:c>
      <x:c r="G51" s="50" t="n">
        <x:v>46219</x:v>
      </x:c>
      <x:c r="H51" s="50" t="n">
        <x:v>46221</x:v>
      </x:c>
      <x:c r="I51" s="53" t="n">
        <x:f>H51-G51+1</x:f>
        <x:v>3</x:v>
      </x:c>
      <x:c r="J51" s="39" t="str">
        <x:v>P1</x:v>
      </x:c>
      <x:c r="K51" s="39" t="str">
        <x:v>미시작</x:v>
      </x:c>
      <x:c r="L51" s="39" t="str">
        <x:v>WBS-049</x:v>
      </x:c>
      <x:c r="M51" s="39" t="str">
        <x:v>dashboard query contract</x:v>
      </x:c>
      <x:c r="N51" s="39" t="str">
        <x:v>command/RCA/audit/DLQ 상태 조회 가능</x:v>
      </x:c>
      <x:c r="O51" s="39" t="str">
        <x:v>pytest dashboard query</x:v>
      </x:c>
      <x:c r="P51" s="39" t="str">
        <x:f>"feat/"&amp;F51&amp;"/dashboard-query-contract"</x:f>
        <x:v>feat/gateway-github-id/dashboard-query-contract</x:v>
      </x:c>
      <x:c r="Q51" s="40" t="str">
        <x:v>UI는 Gateway만 호출</x:v>
      </x:c>
    </x:row>
    <x:row r="52" ht="36" customHeight="1">
      <x:c r="A52" s="38" t="str">
        <x:v>WBS-051</x:v>
      </x:c>
      <x:c r="B52" s="39" t="str">
        <x:v>공통 Read Model</x:v>
      </x:c>
      <x:c r="C52" s="39" t="str">
        <x:v>realtime stream contract 정리</x:v>
      </x:c>
      <x:c r="D52" s="39" t="str">
        <x:v>SSE/WebSocket으로 보낼 dashboard.updated payload를 정리한다.</x:v>
      </x:c>
      <x:c r="E52" s="39" t="str">
        <x:v>Gateway/Auth</x:v>
      </x:c>
      <x:c r="F52" s="39" t="str">
        <x:v>gateway-github-id</x:v>
      </x:c>
      <x:c r="G52" s="50" t="n">
        <x:v>46220</x:v>
      </x:c>
      <x:c r="H52" s="50" t="n">
        <x:v>46222</x:v>
      </x:c>
      <x:c r="I52" s="53" t="n">
        <x:f>H52-G52+1</x:f>
        <x:v>3</x:v>
      </x:c>
      <x:c r="J52" s="39" t="str">
        <x:v>P2</x:v>
      </x:c>
      <x:c r="K52" s="39" t="str">
        <x:v>미시작</x:v>
      </x:c>
      <x:c r="L52" s="39" t="str">
        <x:v>WBS-049</x:v>
      </x:c>
      <x:c r="M52" s="39" t="str">
        <x:v>dashboard stream contract</x:v>
      </x:c>
      <x:c r="N52" s="39" t="str">
        <x:v>실시간 update event를 구독 가능</x:v>
      </x:c>
      <x:c r="O52" s="39" t="str">
        <x:v>manual stream test</x:v>
      </x:c>
      <x:c r="P52" s="39" t="str">
        <x:f>"feat/"&amp;F52&amp;"/dashboard-stream-contract"</x:f>
        <x:v>feat/gateway-github-id/dashboard-stream-contract</x:v>
      </x:c>
      <x:c r="Q52" s="40" t="str">
        <x:v>UI 없이 curl 가능</x:v>
      </x:c>
    </x:row>
    <x:row r="53" ht="36" customHeight="1">
      <x:c r="A53" s="38" t="str">
        <x:v>WBS-052</x:v>
      </x:c>
      <x:c r="B53" s="39" t="str">
        <x:v>공통 안정화</x:v>
      </x:c>
      <x:c r="C53" s="39" t="str">
        <x:v>장애 주입 시나리오 확정</x:v>
      </x:c>
      <x:c r="D53" s="39" t="str">
        <x:v>최종 데모에 사용할 장애 주입, 탐지, RCA, PR 흐름을 확정한다.</x:v>
      </x:c>
      <x:c r="E53" s="39" t="str">
        <x:v>Platform/Integration</x:v>
      </x:c>
      <x:c r="F53" s="39" t="str">
        <x:v>platform-github-id</x:v>
      </x:c>
      <x:c r="G53" s="50" t="n">
        <x:v>46224</x:v>
      </x:c>
      <x:c r="H53" s="50" t="n">
        <x:v>46227</x:v>
      </x:c>
      <x:c r="I53" s="53" t="n">
        <x:f>H53-G53+1</x:f>
        <x:v>4</x:v>
      </x:c>
      <x:c r="J53" s="39" t="str">
        <x:v>P0</x:v>
      </x:c>
      <x:c r="K53" s="39" t="str">
        <x:v>미시작</x:v>
      </x:c>
      <x:c r="L53" s="39" t="str">
        <x:v>WBS-048,WBS-050</x:v>
      </x:c>
      <x:c r="M53" s="39" t="str">
        <x:v>fault scenario</x:v>
      </x:c>
      <x:c r="N53" s="39" t="str">
        <x:v>한 번의 장애 흐름을 end-to-end로 재현 가능</x:v>
      </x:c>
      <x:c r="O53" s="39" t="str">
        <x:v>scenario rehearsal</x:v>
      </x:c>
      <x:c r="P53" s="39" t="str">
        <x:f>"feat/"&amp;F53&amp;"/fault-scenario-lock"</x:f>
        <x:v>feat/platform-github-id/fault-scenario-lock</x:v>
      </x:c>
      <x:c r="Q53" s="40" t="str">
        <x:v>보고 직전 시나리오 변경 금지</x:v>
      </x:c>
    </x:row>
    <x:row r="54" ht="36" customHeight="1">
      <x:c r="A54" s="38" t="str">
        <x:v>WBS-053</x:v>
      </x:c>
      <x:c r="B54" s="39" t="str">
        <x:v>공통 안정화</x:v>
      </x:c>
      <x:c r="C54" s="39" t="str">
        <x:v>회귀 테스트 묶음</x:v>
      </x:c>
      <x:c r="D54" s="39" t="str">
        <x:v>OAuth, GitOps command, telemetry evidence, RCA, DLQ를 회귀 테스트로 묶는다.</x:v>
      </x:c>
      <x:c r="E54" s="39" t="str">
        <x:v>Platform/Integration</x:v>
      </x:c>
      <x:c r="F54" s="39" t="str">
        <x:v>platform-github-id</x:v>
      </x:c>
      <x:c r="G54" s="50" t="n">
        <x:v>46227</x:v>
      </x:c>
      <x:c r="H54" s="50" t="n">
        <x:v>46230</x:v>
      </x:c>
      <x:c r="I54" s="53" t="n">
        <x:f>H54-G54+1</x:f>
        <x:v>4</x:v>
      </x:c>
      <x:c r="J54" s="39" t="str">
        <x:v>P0</x:v>
      </x:c>
      <x:c r="K54" s="39" t="str">
        <x:v>미시작</x:v>
      </x:c>
      <x:c r="L54" s="39" t="str">
        <x:v>WBS-052</x:v>
      </x:c>
      <x:c r="M54" s="39" t="str">
        <x:v>regression suite</x:v>
      </x:c>
      <x:c r="N54" s="39" t="str">
        <x:v>주요 흐름이 반복 실행 가능</x:v>
      </x:c>
      <x:c r="O54" s="39" t="str">
        <x:v>make check, smoke, e2e script</x:v>
      </x:c>
      <x:c r="P54" s="39" t="str">
        <x:f>"feat/"&amp;F54&amp;"/regression-suite"</x:f>
        <x:v>feat/platform-github-id/regression-suite</x:v>
      </x:c>
      <x:c r="Q54" s="40" t="str">
        <x:v>긴 테스트는 별도 script</x:v>
      </x:c>
    </x:row>
    <x:row r="55" ht="36" customHeight="1">
      <x:c r="A55" s="38" t="str">
        <x:v>WBS-054</x:v>
      </x:c>
      <x:c r="B55" s="39" t="str">
        <x:v>공통 안정화</x:v>
      </x:c>
      <x:c r="C55" s="39" t="str">
        <x:v>발표 데모 스크립트 작성</x:v>
      </x:c>
      <x:c r="D55" s="39" t="str">
        <x:v>발표자가 순서대로 따라갈 수 있는 최종 시연 스크립트를 만든다.</x:v>
      </x:c>
      <x:c r="E55" s="39" t="str">
        <x:v>Platform/Integration</x:v>
      </x:c>
      <x:c r="F55" s="39" t="str">
        <x:v>platform-github-id</x:v>
      </x:c>
      <x:c r="G55" s="50" t="n">
        <x:v>46229</x:v>
      </x:c>
      <x:c r="H55" s="50" t="n">
        <x:v>46231</x:v>
      </x:c>
      <x:c r="I55" s="53" t="n">
        <x:f>H55-G55+1</x:f>
        <x:v>3</x:v>
      </x:c>
      <x:c r="J55" s="39" t="str">
        <x:v>P0</x:v>
      </x:c>
      <x:c r="K55" s="39" t="str">
        <x:v>미시작</x:v>
      </x:c>
      <x:c r="L55" s="39" t="str">
        <x:v>WBS-053</x:v>
      </x:c>
      <x:c r="M55" s="39" t="str">
        <x:v>final demo script</x:v>
      </x:c>
      <x:c r="N55" s="39" t="str">
        <x:v>스크립트만 보고 데모 가능</x:v>
      </x:c>
      <x:c r="O55" s="39" t="str">
        <x:v>리허설 체크</x:v>
      </x:c>
      <x:c r="P55" s="39" t="str">
        <x:f>"feat/"&amp;F55&amp;"/final-demo-script"</x:f>
        <x:v>feat/platform-github-id/final-demo-script</x:v>
      </x:c>
      <x:c r="Q55" s="40" t="str">
        <x:v>백업 curl 명령 포함</x:v>
      </x:c>
    </x:row>
    <x:row r="56" ht="36" customHeight="1">
      <x:c r="A56" s="38" t="str">
        <x:v>WBS-055</x:v>
      </x:c>
      <x:c r="B56" s="39" t="str">
        <x:v>공통 안정화</x:v>
      </x:c>
      <x:c r="C56" s="39" t="str">
        <x:v>최종 리허설 1차</x:v>
      </x:c>
      <x:c r="D56" s="39" t="str">
        <x:v>장애 주입부터 Safe PR까지 전체 흐름을 1차 리허설한다.</x:v>
      </x:c>
      <x:c r="E56" s="39" t="str">
        <x:v>Platform/Integration</x:v>
      </x:c>
      <x:c r="F56" s="39" t="str">
        <x:v>platform-github-id</x:v>
      </x:c>
      <x:c r="G56" s="50" t="n">
        <x:v>46231</x:v>
      </x:c>
      <x:c r="H56" s="50" t="n">
        <x:v>46231</x:v>
      </x:c>
      <x:c r="I56" s="53" t="n">
        <x:f>H56-G56+1</x:f>
        <x:v>1</x:v>
      </x:c>
      <x:c r="J56" s="39" t="str">
        <x:v>P0</x:v>
      </x:c>
      <x:c r="K56" s="39" t="str">
        <x:v>미시작</x:v>
      </x:c>
      <x:c r="L56" s="39" t="str">
        <x:v>WBS-054</x:v>
      </x:c>
      <x:c r="M56" s="39" t="str">
        <x:v>1차 리허설 로그</x:v>
      </x:c>
      <x:c r="N56" s="39" t="str">
        <x:v>end-to-end 1회 성공</x:v>
      </x:c>
      <x:c r="O56" s="39" t="str">
        <x:v>manual rehearsal</x:v>
      </x:c>
      <x:c r="P56" s="39" t="str">
        <x:f>"feat/"&amp;F56&amp;"/final-rehearsal-1"</x:f>
        <x:v>feat/platform-github-id/final-rehearsal-1</x:v>
      </x:c>
      <x:c r="Q56" s="40" t="str">
        <x:v>실패 원인 즉시 기록</x:v>
      </x:c>
    </x:row>
    <x:row r="57" ht="36" customHeight="1">
      <x:c r="A57" s="41" t="str">
        <x:v>WBS-056</x:v>
      </x:c>
      <x:c r="B57" s="42" t="str">
        <x:v>공통 안정화</x:v>
      </x:c>
      <x:c r="C57" s="42" t="str">
        <x:v>최종 리허설 2차</x:v>
      </x:c>
      <x:c r="D57" s="42" t="str">
        <x:v>동일 흐름을 다른 팀원이 실행해도 성공하는지 확인한다.</x:v>
      </x:c>
      <x:c r="E57" s="42" t="str">
        <x:v>Platform/Integration</x:v>
      </x:c>
      <x:c r="F57" s="42" t="str">
        <x:v>platform-github-id</x:v>
      </x:c>
      <x:c r="G57" s="51" t="n">
        <x:v>46232</x:v>
      </x:c>
      <x:c r="H57" s="51" t="n">
        <x:v>46232</x:v>
      </x:c>
      <x:c r="I57" s="54" t="n">
        <x:f>H57-G57+1</x:f>
        <x:v>1</x:v>
      </x:c>
      <x:c r="J57" s="42" t="str">
        <x:v>P0</x:v>
      </x:c>
      <x:c r="K57" s="42" t="str">
        <x:v>미시작</x:v>
      </x:c>
      <x:c r="L57" s="42" t="str">
        <x:v>WBS-055</x:v>
      </x:c>
      <x:c r="M57" s="42" t="str">
        <x:v>2차 리허설 로그</x:v>
      </x:c>
      <x:c r="N57" s="42" t="str">
        <x:v>발표자 외 1명도 실행 가능</x:v>
      </x:c>
      <x:c r="O57" s="42" t="str">
        <x:v>manual rehearsal</x:v>
      </x:c>
      <x:c r="P57" s="42" t="str">
        <x:f>"feat/"&amp;F57&amp;"/final-rehearsal-2"</x:f>
        <x:v>feat/platform-github-id/final-rehearsal-2</x:v>
      </x:c>
      <x:c r="Q57" s="43" t="str">
        <x:v>최종 발표 전 변경 금지</x:v>
      </x:c>
    </x:row>
  </x:sheetData>
  <x:dataValidations count="3">
    <x:dataValidation type="list" sqref="E2:E100">
      <x:formula1>"Platform/Integration,Gateway/Auth,GitOps/Command,RCA/Safe PR,Target/Telemetry"</x:formula1>
    </x:dataValidation>
    <x:dataValidation type="list" sqref="J2:J100">
      <x:formula1>"P0,P1,P2,P3"</x:formula1>
    </x:dataValidation>
    <x:dataValidation type="list" sqref="K2:K100">
      <x:formula1>"미시작,진행중,완료,지연,보류"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f49891d3104a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1.109999656677246" hidden="0" customWidth="1"/>
    <x:col min="3" max="3" width="28.889999389648438" hidden="0" customWidth="1"/>
    <x:col min="4" max="4" width="43.33000183105469" hidden="0" customWidth="1"/>
    <x:col min="5" max="5" width="23.329999923706055" hidden="0" customWidth="1"/>
    <x:col min="6" max="6" width="24.440000534057617" hidden="0" customWidth="1"/>
  </x:cols>
  <x:sheetData>
    <x:row r="1" ht="42" customHeight="1">
      <x:c r="A1" s="4" t="str">
        <x:v>수요일 보고 마일스톤
매주 수요일은 실행 가능한 데모를 기준으로 한다</x:v>
      </x:c>
      <x:c r="B1" s="5"/>
      <x:c r="C1" s="5"/>
      <x:c r="D1" s="5"/>
      <x:c r="E1" s="5"/>
      <x:c r="F1" s="6"/>
    </x:row>
    <x:row r="2" ht="42" customHeight="1">
      <x:c r="A2" s="7"/>
      <x:c r="B2" s="8"/>
      <x:c r="C2" s="8"/>
      <x:c r="D2" s="8"/>
      <x:c r="E2" s="8"/>
      <x:c r="F2" s="9"/>
    </x:row>
    <x:row r="4">
      <x:c r="A4" s="16" t="str">
        <x:v>날짜</x:v>
      </x:c>
      <x:c r="B4" s="16" t="str">
        <x:v>구분</x:v>
      </x:c>
      <x:c r="C4" s="16" t="str">
        <x:v>데모 목표</x:v>
      </x:c>
      <x:c r="D4" s="16" t="str">
        <x:v>반드시 보여줄 것</x:v>
      </x:c>
      <x:c r="E4" s="16" t="str">
        <x:v>관련 WBS</x:v>
      </x:c>
      <x:c r="F4" s="16" t="str">
        <x:v>주 담당</x:v>
      </x:c>
    </x:row>
    <x:row r="5">
      <x:c r="A5" s="44" t="n">
        <x:v>46204</x:v>
      </x:c>
      <x:c r="B5" s="36" t="str">
        <x:v>1차 보고</x:v>
      </x:c>
      <x:c r="C5" s="36" t="str">
        <x:v>Event Runtime / DLQ / Node Collector</x:v>
      </x:c>
      <x:c r="D5" s="36" t="str">
        <x:v>event 처리 상태, DLQ 발생/조회/replay, node collector /metrics</x:v>
      </x:c>
      <x:c r="E5" s="36" t="str">
        <x:v>WBS-001~WBS-009</x:v>
      </x:c>
      <x:c r="F5" s="37" t="str">
        <x:v>Platform/Integration</x:v>
      </x:c>
    </x:row>
    <x:row r="6">
      <x:c r="A6" s="45" t="n">
        <x:v>46211</x:v>
      </x:c>
      <x:c r="B6" s="39" t="str">
        <x:v>2차 보고</x:v>
      </x:c>
      <x:c r="C6" s="39" t="str">
        <x:v>GitHub OAuth + Safe PR 초안</x:v>
      </x:c>
      <x:c r="D6" s="39" t="str">
        <x:v>GitHub OAuth token exchange, Safe PR branch/commit/PR 생성 흐름</x:v>
      </x:c>
      <x:c r="E6" s="39" t="str">
        <x:v>WBS-010~WBS-017, WBS-030~WBS-032</x:v>
      </x:c>
      <x:c r="F6" s="40" t="str">
        <x:v>Gateway/Auth, RCA/Safe PR</x:v>
      </x:c>
    </x:row>
    <x:row r="7">
      <x:c r="A7" s="45" t="n">
        <x:v>46218</x:v>
      </x:c>
      <x:c r="B7" s="39" t="str">
        <x:v>3차 보고</x:v>
      </x:c>
      <x:c r="C7" s="39" t="str">
        <x:v>실제 Telemetry Evidence</x:v>
      </x:c>
      <x:c r="D7" s="39" t="str">
        <x:v>Prometheus/Loki query adapter, evidence pack, RCA 근거</x:v>
      </x:c>
      <x:c r="E7" s="39" t="str">
        <x:v>WBS-034, WBS-043~WBS-048</x:v>
      </x:c>
      <x:c r="F7" s="40" t="str">
        <x:v>Target/Telemetry, RCA/Safe PR</x:v>
      </x:c>
    </x:row>
    <x:row r="8">
      <x:c r="A8" s="45" t="n">
        <x:v>46225</x:v>
      </x:c>
      <x:c r="B8" s="39" t="str">
        <x:v>4차 보고</x:v>
      </x:c>
      <x:c r="C8" s="39" t="str">
        <x:v>GitOps command 운영 플로우</x:v>
      </x:c>
      <x:c r="D8" s="39" t="str">
        <x:v>Git webhook, manifest diff, command 상태, audit/read model</x:v>
      </x:c>
      <x:c r="E8" s="39" t="str">
        <x:v>WBS-026, WBS-049~WBS-051</x:v>
      </x:c>
      <x:c r="F8" s="40" t="str">
        <x:v>GitOps/Command, Platform/Integration</x:v>
      </x:c>
    </x:row>
    <x:row r="9">
      <x:c r="A9" s="46" t="n">
        <x:v>46232</x:v>
      </x:c>
      <x:c r="B9" s="42" t="str">
        <x:v>최종 보고</x:v>
      </x:c>
      <x:c r="C9" s="42" t="str">
        <x:v>최종 end-to-end</x:v>
      </x:c>
      <x:c r="D9" s="42" t="str">
        <x:v>장애 주입부터 RCA, Safe PR, 복구 제안까지</x:v>
      </x:c>
      <x:c r="E9" s="42" t="str">
        <x:v>WBS-052~WBS-056</x:v>
      </x:c>
      <x:c r="F9" s="43" t="str">
        <x:v>전체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55ec64bcbc784b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20" hidden="0" customWidth="1"/>
    <x:col min="3" max="3" width="42.220001220703125" hidden="0" customWidth="1"/>
    <x:col min="4" max="4" width="10" hidden="0" customWidth="1"/>
    <x:col min="5" max="5" width="10" hidden="0" customWidth="1"/>
    <x:col min="6" max="6" width="23.329999923706055" hidden="0" customWidth="1"/>
    <x:col min="7" max="7" width="28.889999389648438" hidden="0" customWidth="1"/>
  </x:cols>
  <x:sheetData>
    <x:row r="1" ht="42" customHeight="1">
      <x:c r="A1" s="4" t="str">
        <x:v>5인 담당 영역
대시보드는 이번 분배에서 제외하고 공통 read model로 관리한다</x:v>
      </x:c>
      <x:c r="B1" s="5"/>
      <x:c r="C1" s="5"/>
      <x:c r="D1" s="5"/>
      <x:c r="E1" s="5"/>
      <x:c r="F1" s="5"/>
      <x:c r="G1" s="6"/>
    </x:row>
    <x:row r="2" ht="42" customHeight="1">
      <x:c r="A2" s="7"/>
      <x:c r="B2" s="8"/>
      <x:c r="C2" s="8"/>
      <x:c r="D2" s="8"/>
      <x:c r="E2" s="8"/>
      <x:c r="F2" s="8"/>
      <x:c r="G2" s="9"/>
    </x:row>
    <x:row r="4">
      <x:c r="A4" s="16" t="str">
        <x:v>역할</x:v>
      </x:c>
      <x:c r="B4" s="16" t="str">
        <x:v>담당 Git ID</x:v>
      </x:c>
      <x:c r="C4" s="16" t="str">
        <x:v>주 담당 경로</x:v>
      </x:c>
      <x:c r="D4" s="16" t="str">
        <x:v>전체 작업</x:v>
      </x:c>
      <x:c r="E4" s="16" t="str">
        <x:v>P0 작업</x:v>
      </x:c>
      <x:c r="F4" s="16" t="str">
        <x:v>비고</x:v>
      </x:c>
      <x:c r="G4" s="16" t="str">
        <x:v>브랜치 예시</x:v>
      </x:c>
    </x:row>
    <x:row r="5">
      <x:c r="A5" s="35" t="str">
        <x:v>Platform/Integration</x:v>
      </x:c>
      <x:c r="B5" s="36" t="str">
        <x:v>platform-github-id</x:v>
      </x:c>
      <x:c r="C5" s="36" t="str">
        <x:v>packages/shared, packages/worker_runtime, deploy, scripts, .github</x:v>
      </x:c>
      <x:c r="D5" s="36" t="n">
        <x:f>COUNTIF('상세 WBS'!$E$2:$E$100,A5)</x:f>
        <x:v>15</x:v>
      </x:c>
      <x:c r="E5" s="36" t="n">
        <x:f>COUNTIFS('상세 WBS'!$E$2:$E$100,A5,'상세 WBS'!$J$2:$J$100,"P0")</x:f>
        <x:v>13</x:v>
      </x:c>
      <x:c r="F5" s="36" t="str">
        <x:v>각자 실제 GitHub ID로 교체</x:v>
      </x:c>
      <x:c r="G5" s="37" t="str">
        <x:v>feat/platform-github-id/topic</x:v>
      </x:c>
    </x:row>
    <x:row r="6">
      <x:c r="A6" s="38" t="str">
        <x:v>Gateway/Auth</x:v>
      </x:c>
      <x:c r="B6" s="39" t="str">
        <x:v>gateway-github-id</x:v>
      </x:c>
      <x:c r="C6" s="39" t="str">
        <x:v>services/management-api-gateway, packages/shared/schemas.py</x:v>
      </x:c>
      <x:c r="D6" s="39" t="n">
        <x:f>COUNTIF('상세 WBS'!$E$2:$E$100,A6)</x:f>
        <x:v>10</x:v>
      </x:c>
      <x:c r="E6" s="39" t="n">
        <x:f>COUNTIFS('상세 WBS'!$E$2:$E$100,A6,'상세 WBS'!$J$2:$J$100,"P0")</x:f>
        <x:v>6</x:v>
      </x:c>
      <x:c r="F6" s="39" t="str">
        <x:v>각자 실제 GitHub ID로 교체</x:v>
      </x:c>
      <x:c r="G6" s="40" t="str">
        <x:v>feat/gateway-github-id/topic</x:v>
      </x:c>
    </x:row>
    <x:row r="7">
      <x:c r="A7" s="38" t="str">
        <x:v>GitOps/Command</x:v>
      </x:c>
      <x:c r="B7" s="39" t="str">
        <x:v>gitops-github-id</x:v>
      </x:c>
      <x:c r="C7" s="39" t="str">
        <x:v>services/gitops-sync-worker, services/command-worker</x:v>
      </x:c>
      <x:c r="D7" s="39" t="n">
        <x:f>COUNTIF('상세 WBS'!$E$2:$E$100,A7)</x:f>
        <x:v>9</x:v>
      </x:c>
      <x:c r="E7" s="39" t="n">
        <x:f>COUNTIFS('상세 WBS'!$E$2:$E$100,A7,'상세 WBS'!$J$2:$J$100,"P0")</x:f>
        <x:v>7</x:v>
      </x:c>
      <x:c r="F7" s="39" t="str">
        <x:v>각자 실제 GitHub ID로 교체</x:v>
      </x:c>
      <x:c r="G7" s="40" t="str">
        <x:v>feat/gitops-github-id/topic</x:v>
      </x:c>
    </x:row>
    <x:row r="8">
      <x:c r="A8" s="38" t="str">
        <x:v>RCA/Safe PR</x:v>
      </x:c>
      <x:c r="B8" s="39" t="str">
        <x:v>rca-github-id</x:v>
      </x:c>
      <x:c r="C8" s="39" t="str">
        <x:v>services/rca-worker, services/audit-timeline-service</x:v>
      </x:c>
      <x:c r="D8" s="39" t="n">
        <x:f>COUNTIF('상세 WBS'!$E$2:$E$100,A8)</x:f>
        <x:v>10</x:v>
      </x:c>
      <x:c r="E8" s="39" t="n">
        <x:f>COUNTIFS('상세 WBS'!$E$2:$E$100,A8,'상세 WBS'!$J$2:$J$100,"P0")</x:f>
        <x:v>8</x:v>
      </x:c>
      <x:c r="F8" s="39" t="str">
        <x:v>각자 실제 GitHub ID로 교체</x:v>
      </x:c>
      <x:c r="G8" s="40" t="str">
        <x:v>feat/rca-github-id/topic</x:v>
      </x:c>
    </x:row>
    <x:row r="9">
      <x:c r="A9" s="41" t="str">
        <x:v>Target/Telemetry</x:v>
      </x:c>
      <x:c r="B9" s="42" t="str">
        <x:v>target-github-id</x:v>
      </x:c>
      <x:c r="C9" s="42" t="str">
        <x:v>services/target-cluster-agent, services/node-collector, deploy/target</x:v>
      </x:c>
      <x:c r="D9" s="42" t="n">
        <x:f>COUNTIF('상세 WBS'!$E$2:$E$100,A9)</x:f>
        <x:v>12</x:v>
      </x:c>
      <x:c r="E9" s="42" t="n">
        <x:f>COUNTIFS('상세 WBS'!$E$2:$E$100,A9,'상세 WBS'!$J$2:$J$100,"P0")</x:f>
        <x:v>10</x:v>
      </x:c>
      <x:c r="F9" s="42" t="str">
        <x:v>각자 실제 GitHub ID로 교체</x:v>
      </x:c>
      <x:c r="G9" s="43" t="str">
        <x:v>feat/target-github-id/topic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672595cf81f542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24.440000534057617" hidden="0" customWidth="1"/>
    <x:col min="3" max="3" width="57.779998779296875" hidden="0" customWidth="1"/>
  </x:cols>
  <x:sheetData>
    <x:row r="1" ht="42" customHeight="1">
      <x:c r="A1" s="4" t="str">
        <x:v>주요 선후행 작업
막히는 작업은 선행 WBS 완료 여부부터 확인한다</x:v>
      </x:c>
      <x:c r="B1" s="5"/>
      <x:c r="C1" s="6"/>
    </x:row>
    <x:row r="2" ht="42" customHeight="1">
      <x:c r="A2" s="7"/>
      <x:c r="B2" s="8"/>
      <x:c r="C2" s="9"/>
    </x:row>
    <x:row r="4">
      <x:c r="A4" s="16" t="str">
        <x:v>후행 작업</x:v>
      </x:c>
      <x:c r="B4" s="16" t="str">
        <x:v>선행 작업</x:v>
      </x:c>
      <x:c r="C4" s="16" t="str">
        <x:v>이유</x:v>
      </x:c>
    </x:row>
    <x:row r="5">
      <x:c r="A5" s="35" t="str">
        <x:v>WBS-012</x:v>
      </x:c>
      <x:c r="B5" s="36" t="str">
        <x:v>WBS-010,WBS-011</x:v>
      </x:c>
      <x:c r="C5" s="37" t="str">
        <x:v>실제 token exchange는 provider 설정과 state 저장이 선행되어야 한다.</x:v>
      </x:c>
    </x:row>
    <x:row r="6">
      <x:c r="A6" s="38" t="str">
        <x:v>WBS-014</x:v>
      </x:c>
      <x:c r="B6" s="39" t="str">
        <x:v>WBS-013</x:v>
      </x:c>
      <x:c r="C6" s="40" t="str">
        <x:v>command API 보호는 session 정책 확정 이후 가능하다.</x:v>
      </x:c>
    </x:row>
    <x:row r="7">
      <x:c r="A7" s="38" t="str">
        <x:v>WBS-022</x:v>
      </x:c>
      <x:c r="B7" s="39" t="str">
        <x:v>WBS-021</x:v>
      </x:c>
      <x:c r="C7" s="40" t="str">
        <x:v>command.requested는 desired diff 결과가 있어야 생성 가능하다.</x:v>
      </x:c>
    </x:row>
    <x:row r="8">
      <x:c r="A8" s="38" t="str">
        <x:v>WBS-024</x:v>
      </x:c>
      <x:c r="B8" s="39" t="str">
        <x:v>WBS-023</x:v>
      </x:c>
      <x:c r="C8" s="40" t="str">
        <x:v>agent queue 저장은 command policy 상태 분리 이후 안정화한다.</x:v>
      </x:c>
    </x:row>
    <x:row r="9">
      <x:c r="A9" s="38" t="str">
        <x:v>WBS-032</x:v>
      </x:c>
      <x:c r="B9" s="39" t="str">
        <x:v>WBS-030,WBS-031</x:v>
      </x:c>
      <x:c r="C9" s="40" t="str">
        <x:v>PR 생성은 proposal model과 branch/commit client가 선행되어야 한다.</x:v>
      </x:c>
    </x:row>
    <x:row r="10">
      <x:c r="A10" s="38" t="str">
        <x:v>WBS-034</x:v>
      </x:c>
      <x:c r="B10" s="39" t="str">
        <x:v>WBS-044,WBS-045</x:v>
      </x:c>
      <x:c r="C10" s="40" t="str">
        <x:v>RCA 품질 점검은 실제 metric/log evidence 이후 가능하다.</x:v>
      </x:c>
    </x:row>
    <x:row r="11">
      <x:c r="A11" s="38" t="str">
        <x:v>WBS-047</x:v>
      </x:c>
      <x:c r="B11" s="39" t="str">
        <x:v>WBS-044,WBS-045,WBS-016</x:v>
      </x:c>
      <x:c r="C11" s="40" t="str">
        <x:v>evidence 전송은 adapter와 Gateway validation이 맞아야 한다.</x:v>
      </x:c>
    </x:row>
    <x:row r="12">
      <x:c r="A12" s="38" t="str">
        <x:v>WBS-052</x:v>
      </x:c>
      <x:c r="B12" s="39" t="str">
        <x:v>WBS-048,WBS-050</x:v>
      </x:c>
      <x:c r="C12" s="40" t="str">
        <x:v>최종 장애 시나리오는 telemetry evidence와 query contract 이후 고정한다.</x:v>
      </x:c>
    </x:row>
    <x:row r="13">
      <x:c r="A13" s="38" t="str">
        <x:v>WBS-053</x:v>
      </x:c>
      <x:c r="B13" s="39" t="str">
        <x:v>WBS-052</x:v>
      </x:c>
      <x:c r="C13" s="40" t="str">
        <x:v>회귀 테스트는 최종 시나리오가 고정된 뒤 묶는다.</x:v>
      </x:c>
    </x:row>
    <x:row r="14">
      <x:c r="A14" s="41" t="str">
        <x:v>WBS-056</x:v>
      </x:c>
      <x:c r="B14" s="42" t="str">
        <x:v>WBS-055</x:v>
      </x:c>
      <x:c r="C14" s="43" t="str">
        <x:v>2차 리허설은 1차 실패/보완 사항 반영 후 진행한다.</x:v>
      </x:c>
    </x:row>
  </x:sheetData>
  <x:mergeCells>
    <x:mergeCell ref="A1:C2"/>
  </x:mergeCells>
  <x:pageMargins left="0.7" right="0.7" top="0.75" bottom="0.75" header="0.3" footer="0.3"/>
  <x:tableParts count="1">
    <x:tablePart xmlns:r="http://schemas.openxmlformats.org/officeDocument/2006/relationships" r:id="R9adb8ec652864c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27.780000686645508" hidden="0" customWidth="1"/>
    <x:col min="3" max="3" width="10" hidden="0" customWidth="1"/>
    <x:col min="4" max="4" width="10" hidden="0" customWidth="1"/>
    <x:col min="5" max="5" width="46.66999816894531" hidden="0" customWidth="1"/>
    <x:col min="6" max="6" width="17.780000686645508" hidden="0" customWidth="1"/>
    <x:col min="7" max="7" width="20" hidden="0" customWidth="1"/>
  </x:cols>
  <x:sheetData>
    <x:row r="1" ht="42" customHeight="1">
      <x:c r="A1" s="4" t="str">
        <x:v>리스크와 대응
수요일 데모 실패를 막기 위한 운영 리스크 중심</x:v>
      </x:c>
      <x:c r="B1" s="5"/>
      <x:c r="C1" s="5"/>
      <x:c r="D1" s="5"/>
      <x:c r="E1" s="5"/>
      <x:c r="F1" s="5"/>
      <x:c r="G1" s="6"/>
    </x:row>
    <x:row r="2" ht="42" customHeight="1">
      <x:c r="A2" s="7"/>
      <x:c r="B2" s="8"/>
      <x:c r="C2" s="8"/>
      <x:c r="D2" s="8"/>
      <x:c r="E2" s="8"/>
      <x:c r="F2" s="8"/>
      <x:c r="G2" s="9"/>
    </x:row>
    <x:row r="4">
      <x:c r="A4" s="16" t="str">
        <x:v>ID</x:v>
      </x:c>
      <x:c r="B4" s="16" t="str">
        <x:v>리스크</x:v>
      </x:c>
      <x:c r="C4" s="16" t="str">
        <x:v>가능성</x:v>
      </x:c>
      <x:c r="D4" s="16" t="str">
        <x:v>영향도</x:v>
      </x:c>
      <x:c r="E4" s="16" t="str">
        <x:v>대응</x:v>
      </x:c>
      <x:c r="F4" s="16" t="str">
        <x:v>담당</x:v>
      </x:c>
      <x:c r="G4" s="16" t="str">
        <x:v>관련 WBS</x:v>
      </x:c>
    </x:row>
    <x:row r="5">
      <x:c r="A5" s="35" t="str">
        <x:v>R-001</x:v>
      </x:c>
      <x:c r="B5" s="36" t="str">
        <x:v>OAuth/GitHub 실제 API 지연</x:v>
      </x:c>
      <x:c r="C5" s="36" t="str">
        <x:v>높음</x:v>
      </x:c>
      <x:c r="D5" s="36" t="str">
        <x:v>중간</x:v>
      </x:c>
      <x:c r="E5" s="36" t="str">
        <x:v>fake adapter 유지, GitHub client는 feature flag로 전환</x:v>
      </x:c>
      <x:c r="F5" s="36" t="str">
        <x:v>Gateway/Auth</x:v>
      </x:c>
      <x:c r="G5" s="37" t="str">
        <x:v>WBS-012,WBS-032</x:v>
      </x:c>
    </x:row>
    <x:row r="6">
      <x:c r="A6" s="38" t="str">
        <x:v>R-002</x:v>
      </x:c>
      <x:c r="B6" s="39" t="str">
        <x:v>팀원별 telemetry 환경 차이</x:v>
      </x:c>
      <x:c r="C6" s="39" t="str">
        <x:v>높음</x:v>
      </x:c>
      <x:c r="D6" s="39" t="str">
        <x:v>높음</x:v>
      </x:c>
      <x:c r="E6" s="39" t="str">
        <x:v>fake adapter와 Node Collector fallback 유지</x:v>
      </x:c>
      <x:c r="F6" s="39" t="str">
        <x:v>Target/Telemetry</x:v>
      </x:c>
      <x:c r="G6" s="40" t="str">
        <x:v>WBS-042,WBS-048</x:v>
      </x:c>
    </x:row>
    <x:row r="7">
      <x:c r="A7" s="38" t="str">
        <x:v>R-003</x:v>
      </x:c>
      <x:c r="B7" s="39" t="str">
        <x:v>event 중복 처리</x:v>
      </x:c>
      <x:c r="C7" s="39" t="str">
        <x:v>중간</x:v>
      </x:c>
      <x:c r="D7" s="39" t="str">
        <x:v>높음</x:v>
      </x:c>
      <x:c r="E7" s="39" t="str">
        <x:v>event_processing ledger, idempotent write, 필요 시 outbox relay</x:v>
      </x:c>
      <x:c r="F7" s="39" t="str">
        <x:v>Platform/Integration</x:v>
      </x:c>
      <x:c r="G7" s="40" t="str">
        <x:v>WBS-005,WBS-053</x:v>
      </x:c>
    </x:row>
    <x:row r="8">
      <x:c r="A8" s="38" t="str">
        <x:v>R-004</x:v>
      </x:c>
      <x:c r="B8" s="39" t="str">
        <x:v>수요일 데모 직전 통합 실패</x:v>
      </x:c>
      <x:c r="C8" s="39" t="str">
        <x:v>중간</x:v>
      </x:c>
      <x:c r="D8" s="39" t="str">
        <x:v>높음</x:v>
      </x:c>
      <x:c r="E8" s="39" t="str">
        <x:v>화요일 저녁 integration freeze, 수요일 오전 critical fix만 허용</x:v>
      </x:c>
      <x:c r="F8" s="39" t="str">
        <x:v>Platform/Integration</x:v>
      </x:c>
      <x:c r="G8" s="40" t="str">
        <x:v>WBS-008,WBS-054</x:v>
      </x:c>
    </x:row>
    <x:row r="9">
      <x:c r="A9" s="38" t="str">
        <x:v>R-005</x:v>
      </x:c>
      <x:c r="B9" s="39" t="str">
        <x:v>UI 지연</x:v>
      </x:c>
      <x:c r="C9" s="39" t="str">
        <x:v>중간</x:v>
      </x:c>
      <x:c r="D9" s="39" t="str">
        <x:v>중간</x:v>
      </x:c>
      <x:c r="E9" s="39" t="str">
        <x:v>Gateway API와 curl/httpie demo를 백업 플랜으로 유지</x:v>
      </x:c>
      <x:c r="F9" s="39" t="str">
        <x:v>Gateway/Auth</x:v>
      </x:c>
      <x:c r="G9" s="40" t="str">
        <x:v>WBS-050,WBS-051</x:v>
      </x:c>
    </x:row>
    <x:row r="10">
      <x:c r="A10" s="38" t="str">
        <x:v>R-006</x:v>
      </x:c>
      <x:c r="B10" s="39" t="str">
        <x:v>RBAC 권한 과다</x:v>
      </x:c>
      <x:c r="C10" s="39" t="str">
        <x:v>낮음</x:v>
      </x:c>
      <x:c r="D10" s="39" t="str">
        <x:v>높음</x:v>
      </x:c>
      <x:c r="E10" s="39" t="str">
        <x:v>sandbox write만 허용하고 PR에 kubectl auth can-i 결과 첨부</x:v>
      </x:c>
      <x:c r="F10" s="39" t="str">
        <x:v>Target/Telemetry</x:v>
      </x:c>
      <x:c r="G10" s="40" t="str">
        <x:v>WBS-038,WBS-041</x:v>
      </x:c>
    </x:row>
    <x:row r="11">
      <x:c r="A11" s="38" t="str">
        <x:v>R-007</x:v>
      </x:c>
      <x:c r="B11" s="39" t="str">
        <x:v>실제 PR 생성 사고</x:v>
      </x:c>
      <x:c r="C11" s="39" t="str">
        <x:v>낮음</x:v>
      </x:c>
      <x:c r="D11" s="39" t="str">
        <x:v>높음</x:v>
      </x:c>
      <x:c r="E11" s="39" t="str">
        <x:v>feature flag, dry-run mode, test repo 우선</x:v>
      </x:c>
      <x:c r="F11" s="39" t="str">
        <x:v>RCA/Safe PR</x:v>
      </x:c>
      <x:c r="G11" s="40" t="str">
        <x:v>WBS-031,WBS-032</x:v>
      </x:c>
    </x:row>
    <x:row r="12">
      <x:c r="A12" s="41" t="str">
        <x:v>R-008</x:v>
      </x:c>
      <x:c r="B12" s="42" t="str">
        <x:v>문서와 코드 불일치</x:v>
      </x:c>
      <x:c r="C12" s="42" t="str">
        <x:v>중간</x:v>
      </x:c>
      <x:c r="D12" s="42" t="str">
        <x:v>중간</x:v>
      </x:c>
      <x:c r="E12" s="42" t="str">
        <x:v>PR에 WIKI/docs 변경 여부 체크, weekly 문서 정리</x:v>
      </x:c>
      <x:c r="F12" s="42" t="str">
        <x:v>Platform/Integration</x:v>
      </x:c>
      <x:c r="G12" s="43" t="str">
        <x:v>WBS-001,WBS-003</x:v>
      </x:c>
    </x:row>
  </x:sheetData>
  <x:mergeCells>
    <x:mergeCell ref="A1:G2"/>
  </x:mergeCells>
  <x:dataValidations count="2">
    <x:dataValidation type="list" sqref="C5:C50">
      <x:formula1>"낮음,중간,높음"</x:formula1>
    </x:dataValidation>
    <x:dataValidation type="list" sqref="D5:D50">
      <x:formula1>"낮음,중간,높음"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7a4aa1e5e043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36.66999816894531" hidden="0" customWidth="1"/>
    <x:col min="3" max="3" width="18.889999389648438" hidden="0" customWidth="1"/>
    <x:col min="4" max="4" width="18.889999389648438" hidden="0" customWidth="1"/>
    <x:col min="5" max="5" width="40" hidden="0" customWidth="1"/>
  </x:cols>
  <x:sheetData>
    <x:row r="1" ht="42" customHeight="1">
      <x:c r="A1" s="4" t="str">
        <x:v>검증 체크리스트
PR과 수요일 데모 전에 최소한으로 확인할 것</x:v>
      </x:c>
      <x:c r="B1" s="5"/>
      <x:c r="C1" s="5"/>
      <x:c r="D1" s="5"/>
      <x:c r="E1" s="6"/>
    </x:row>
    <x:row r="2" ht="42" customHeight="1">
      <x:c r="A2" s="7"/>
      <x:c r="B2" s="8"/>
      <x:c r="C2" s="8"/>
      <x:c r="D2" s="8"/>
      <x:c r="E2" s="9"/>
    </x:row>
    <x:row r="4">
      <x:c r="A4" s="16" t="str">
        <x:v>상황</x:v>
      </x:c>
      <x:c r="B4" s="16" t="str">
        <x:v>검증</x:v>
      </x:c>
      <x:c r="C4" s="16" t="str">
        <x:v>주 담당</x:v>
      </x:c>
      <x:c r="D4" s="16" t="str">
        <x:v>적용 시점</x:v>
      </x:c>
      <x:c r="E4" s="16" t="str">
        <x:v>목적</x:v>
      </x:c>
    </x:row>
    <x:row r="5">
      <x:c r="A5" s="35" t="str">
        <x:v>PR 전 공통</x:v>
      </x:c>
      <x:c r="B5" s="36" t="str">
        <x:v>make check</x:v>
      </x:c>
      <x:c r="C5" s="36" t="str">
        <x:v>전체</x:v>
      </x:c>
      <x:c r="D5" s="36" t="str">
        <x:v>모든 PR</x:v>
      </x:c>
      <x:c r="E5" s="37" t="str">
        <x:v>CI와 동일한 기본 검증</x:v>
      </x:c>
    </x:row>
    <x:row r="6">
      <x:c r="A6" s="38" t="str">
        <x:v>PR 전 공통</x:v>
      </x:c>
      <x:c r="B6" s="39" t="str">
        <x:v>python -m compileall -q services packages</x:v>
      </x:c>
      <x:c r="C6" s="39" t="str">
        <x:v>전체</x:v>
      </x:c>
      <x:c r="D6" s="39" t="str">
        <x:v>Python 변경</x:v>
      </x:c>
      <x:c r="E6" s="40" t="str">
        <x:v>문법 오류 조기 발견</x:v>
      </x:c>
    </x:row>
    <x:row r="7">
      <x:c r="A7" s="38" t="str">
        <x:v>Event 변경</x:v>
      </x:c>
      <x:c r="B7" s="39" t="str">
        <x:v>docs/events.md와 EventSubject 동시 수정</x:v>
      </x:c>
      <x:c r="C7" s="39" t="str">
        <x:v>Platform/Integration</x:v>
      </x:c>
      <x:c r="D7" s="39" t="str">
        <x:v>새 event subject</x:v>
      </x:c>
      <x:c r="E7" s="40" t="str">
        <x:v>구독/발행 계약 불일치 방지</x:v>
      </x:c>
    </x:row>
    <x:row r="8">
      <x:c r="A8" s="38" t="str">
        <x:v>Gateway 변경</x:v>
      </x:c>
      <x:c r="B8" s="39" t="str">
        <x:v>session 없는 write 요청 실패 확인</x:v>
      </x:c>
      <x:c r="C8" s="39" t="str">
        <x:v>Gateway/Auth</x:v>
      </x:c>
      <x:c r="D8" s="39" t="str">
        <x:v>API 변경</x:v>
      </x:c>
      <x:c r="E8" s="40" t="str">
        <x:v>보호 API 우회 방지</x:v>
      </x:c>
    </x:row>
    <x:row r="9">
      <x:c r="A9" s="38" t="str">
        <x:v>GitOps 변경</x:v>
      </x:c>
      <x:c r="B9" s="39" t="str">
        <x:v>manifest/diff/command payload 테스트</x:v>
      </x:c>
      <x:c r="C9" s="39" t="str">
        <x:v>GitOps/Command</x:v>
      </x:c>
      <x:c r="D9" s="39" t="str">
        <x:v>worker 변경</x:v>
      </x:c>
      <x:c r="E9" s="40" t="str">
        <x:v>command 생성 흐름 보장</x:v>
      </x:c>
    </x:row>
    <x:row r="10">
      <x:c r="A10" s="38" t="str">
        <x:v>RCA 변경</x:v>
      </x:c>
      <x:c r="B10" s="39" t="str">
        <x:v>evidence 없는 추론 금지 테스트</x:v>
      </x:c>
      <x:c r="C10" s="39" t="str">
        <x:v>RCA/Safe PR</x:v>
      </x:c>
      <x:c r="D10" s="39" t="str">
        <x:v>RCA 변경</x:v>
      </x:c>
      <x:c r="E10" s="40" t="str">
        <x:v>근거 기반 RCA 유지</x:v>
      </x:c>
    </x:row>
    <x:row r="11">
      <x:c r="A11" s="38" t="str">
        <x:v>Target 변경</x:v>
      </x:c>
      <x:c r="B11" s="39" t="str">
        <x:v>kubectl apply --dry-run=client --validate=false</x:v>
      </x:c>
      <x:c r="C11" s="39" t="str">
        <x:v>Target/Telemetry</x:v>
      </x:c>
      <x:c r="D11" s="39" t="str">
        <x:v>target manifest 변경</x:v>
      </x:c>
      <x:c r="E11" s="40" t="str">
        <x:v>RBAC/manifest 적용성 확인</x:v>
      </x:c>
    </x:row>
    <x:row r="12">
      <x:c r="A12" s="38" t="str">
        <x:v>데모 전</x:v>
      </x:c>
      <x:c r="B12" s="39" t="str">
        <x:v>make up &amp;&amp; make smoke &amp;&amp; make status</x:v>
      </x:c>
      <x:c r="C12" s="39" t="str">
        <x:v>전체</x:v>
      </x:c>
      <x:c r="D12" s="39" t="str">
        <x:v>수요일 보고</x:v>
      </x:c>
      <x:c r="E12" s="40" t="str">
        <x:v>실행 가능한 데모 보장</x:v>
      </x:c>
    </x:row>
    <x:row r="13">
      <x:c r="A13" s="41" t="str">
        <x:v>최종 발표 전</x:v>
      </x:c>
      <x:c r="B13" s="42" t="str">
        <x:v>end-to-end 리허설 2회</x:v>
      </x:c>
      <x:c r="C13" s="42" t="str">
        <x:v>전체</x:v>
      </x:c>
      <x:c r="D13" s="42" t="str">
        <x:v>2026-07-29</x:v>
      </x:c>
      <x:c r="E13" s="43" t="str">
        <x:v>발표자 교체에도 실행 가능</x:v>
      </x:c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7cb02a1bc8314c71"/>
  </x:tableParts>
</x:worksheet>
</file>